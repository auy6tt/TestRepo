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Findings" sheetId="2" state="visible" r:id="rId4"/>
    <sheet name="Files" sheetId="3" state="visible" r:id="rId5"/>
  </sheets>
  <definedNames>
    <definedName function="false" hidden="false" localSheetId="2" name="_xlnm.Print_Titles" vbProcedure="false">Files!$1:$1</definedName>
    <definedName function="false" hidden="false" localSheetId="1" name="_xlnm.Print_Titles" vbProcedure="false">Findings!$1:$1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<sst xmlns="http://schemas.openxmlformats.org/spreadsheetml/2006/main" count="77" uniqueCount="57">
  <si>
    <t xml:space="preserve">Replication package check: 3-fixed-package</t>
  </si>
  <si>
    <t xml:space="preserve">Checked 2026-10-07 with check_package.py 1.0. Automated first pass: review every finding.</t>
  </si>
  <si>
    <t xml:space="preserve">Severity</t>
  </si>
  <si>
    <t xml:space="preserve">Findings</t>
  </si>
  <si>
    <t xml:space="preserve">Still open</t>
  </si>
  <si>
    <t xml:space="preserve">What it means</t>
  </si>
  <si>
    <t xml:space="preserve">High</t>
  </si>
  <si>
    <t xml:space="preserve">Likely to stop the code running, or to fail the journal's code check</t>
  </si>
  <si>
    <t xml:space="preserve">Medium</t>
  </si>
  <si>
    <t xml:space="preserve">The data editor will probably ask for a change</t>
  </si>
  <si>
    <t xml:space="preserve">Low</t>
  </si>
  <si>
    <t xml:space="preserve">Good practice, quick to fix</t>
  </si>
  <si>
    <t xml:space="preserve">Info</t>
  </si>
  <si>
    <t xml:space="preserve">For your information</t>
  </si>
  <si>
    <t xml:space="preserve">Total</t>
  </si>
  <si>
    <t xml:space="preserve">How to use this workbook</t>
  </si>
  <si>
    <t xml:space="preserve">On the Findings sheet, edit only the yellow columns: Status (pick from the list) and Notes.</t>
  </si>
  <si>
    <t xml:space="preserve">The counts above update by themselves. 'Still open' counts findings whose Status is Open.</t>
  </si>
  <si>
    <t xml:space="preserve">Status values: Open, Fixed, Author to decide, Not an issue.</t>
  </si>
  <si>
    <t xml:space="preserve">For CSV files only the header row was read. No data values were opened or copied here.</t>
  </si>
  <si>
    <t xml:space="preserve">ID</t>
  </si>
  <si>
    <t xml:space="preserve">Check</t>
  </si>
  <si>
    <t xml:space="preserve">Where</t>
  </si>
  <si>
    <t xml:space="preserve">Finding</t>
  </si>
  <si>
    <t xml:space="preserve">Suggested fix</t>
  </si>
  <si>
    <t xml:space="preserve">Status</t>
  </si>
  <si>
    <t xml:space="preserve">Notes</t>
  </si>
  <si>
    <t xml:space="preserve">Path</t>
  </si>
  <si>
    <t xml:space="preserve">Size (MB)</t>
  </si>
  <si>
    <t xml:space="preserve">Type</t>
  </si>
  <si>
    <t xml:space="preserve">Role</t>
  </si>
  <si>
    <t xml:space="preserve">code/01_clean_data.py</t>
  </si>
  <si>
    <t xml:space="preserve">.py</t>
  </si>
  <si>
    <t xml:space="preserve">Code (Python)</t>
  </si>
  <si>
    <t xml:space="preserve">code/02_analysis.py</t>
  </si>
  <si>
    <t xml:space="preserve">code/03_figure1.py</t>
  </si>
  <si>
    <t xml:space="preserve">code/04_tableA1_attrition.py</t>
  </si>
  <si>
    <t xml:space="preserve">data/derived/analysis_sample.csv</t>
  </si>
  <si>
    <t xml:space="preserve">.csv</t>
  </si>
  <si>
    <t xml:space="preserve">Data</t>
  </si>
  <si>
    <t xml:space="preserve">data/raw/tutoring_pilot.csv</t>
  </si>
  <si>
    <t xml:space="preserve">LICENSE.txt</t>
  </si>
  <si>
    <t xml:space="preserve">.txt</t>
  </si>
  <si>
    <t xml:space="preserve">logs/main.log</t>
  </si>
  <si>
    <t xml:space="preserve">.log</t>
  </si>
  <si>
    <t xml:space="preserve">Other</t>
  </si>
  <si>
    <t xml:space="preserve">main.py</t>
  </si>
  <si>
    <t xml:space="preserve">output/figure1_scores_by_baseline.png</t>
  </si>
  <si>
    <t xml:space="preserve">.png</t>
  </si>
  <si>
    <t xml:space="preserve">Output</t>
  </si>
  <si>
    <t xml:space="preserve">output/table1_summary_stats.csv</t>
  </si>
  <si>
    <t xml:space="preserve">output/table2_main_results.csv</t>
  </si>
  <si>
    <t xml:space="preserve">output/tableA1_attrition.csv</t>
  </si>
  <si>
    <t xml:space="preserve">README.md</t>
  </si>
  <si>
    <t xml:space="preserve">.md</t>
  </si>
  <si>
    <t xml:space="preserve">Document</t>
  </si>
  <si>
    <t xml:space="preserve">requirements.txt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</si>
</sst>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.00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F8D7DA"/>
        <bgColor rgb="FFFFE8C2"/>
      </patternFill>
    </fill>
    <fill>
      <patternFill patternType="solid">
        <fgColor rgb="FFFFE8C2"/>
        <bgColor rgb="FFF8D7DA"/>
      </patternFill>
    </fill>
    <fill>
      <patternFill patternType="solid">
        <fgColor rgb="FFDCEBFA"/>
        <bgColor rgb="FFEDEDED"/>
      </patternFill>
    </fill>
    <fill>
      <patternFill patternType="solid">
        <fgColor rgb="FFEDEDED"/>
        <bgColor rgb="FFDCEBF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E8C2"/>
      <rgbColor rgb="FFDCEBFA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EDED"/>
      <rgbColor rgb="FFCCFFCC"/>
      <rgbColor rgb="FFFFFF99"/>
      <rgbColor rgb="FF99CCFF"/>
      <rgbColor rgb="FFFF99CC"/>
      <rgbColor rgb="FFCC99FF"/>
      <rgbColor rgb="FFF8D7DA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3" min="2" style="0" width="11"/>
    <col collapsed="false" customWidth="true" hidden="false" outlineLevel="0" max="4" min="4" style="0" width="7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</row>
    <row r="5" customFormat="false" ht="15" hidden="false" customHeight="false" outlineLevel="0" collapsed="false">
      <c r="A5" s="4" t="s">
        <v>6</v>
      </c>
      <c r="B5" s="5" t="n">
        <f aca="false">COUNTIF(Findings!$B:$B,"High")</f>
        <v>0</v>
      </c>
      <c r="C5" s="5" t="n">
        <f aca="false">COUNTIFS(Findings!$B:$B,"High",Findings!$G:$G,"Open")</f>
        <v>0</v>
      </c>
      <c r="D5" s="5" t="s">
        <v>7</v>
      </c>
    </row>
    <row r="6" customFormat="false" ht="15" hidden="false" customHeight="false" outlineLevel="0" collapsed="false">
      <c r="A6" s="6" t="s">
        <v>8</v>
      </c>
      <c r="B6" s="5" t="n">
        <f aca="false">COUNTIF(Findings!$B:$B,"Medium")</f>
        <v>0</v>
      </c>
      <c r="C6" s="5" t="n">
        <f aca="false">COUNTIFS(Findings!$B:$B,"Medium",Findings!$G:$G,"Open")</f>
        <v>0</v>
      </c>
      <c r="D6" s="5" t="s">
        <v>9</v>
      </c>
    </row>
    <row r="7" customFormat="false" ht="15" hidden="false" customHeight="false" outlineLevel="0" collapsed="false">
      <c r="A7" s="7" t="s">
        <v>10</v>
      </c>
      <c r="B7" s="5" t="n">
        <f aca="false">COUNTIF(Findings!$B:$B,"Low")</f>
        <v>0</v>
      </c>
      <c r="C7" s="5" t="n">
        <f aca="false">COUNTIFS(Findings!$B:$B,"Low",Findings!$G:$G,"Open")</f>
        <v>0</v>
      </c>
      <c r="D7" s="5" t="s">
        <v>11</v>
      </c>
    </row>
    <row r="8" customFormat="false" ht="15" hidden="false" customHeight="false" outlineLevel="0" collapsed="false">
      <c r="A8" s="8" t="s">
        <v>12</v>
      </c>
      <c r="B8" s="5" t="n">
        <f aca="false">COUNTIF(Findings!$B:$B,"Info")</f>
        <v>0</v>
      </c>
      <c r="C8" s="5" t="n">
        <f aca="false">COUNTIFS(Findings!$B:$B,"Info",Findings!$G:$G,"Open")</f>
        <v>0</v>
      </c>
      <c r="D8" s="5" t="s">
        <v>13</v>
      </c>
    </row>
    <row r="9" customFormat="false" ht="15" hidden="false" customHeight="false" outlineLevel="0" collapsed="false">
      <c r="A9" s="9" t="s">
        <v>14</v>
      </c>
      <c r="B9" s="9" t="n">
        <f aca="false">SUM(B5:B8)</f>
        <v>0</v>
      </c>
      <c r="C9" s="9" t="n">
        <f aca="false">SUM(C5:C8)</f>
        <v>0</v>
      </c>
      <c r="D9" s="10"/>
    </row>
    <row r="11" customFormat="false" ht="15" hidden="false" customHeight="false" outlineLevel="0" collapsed="false">
      <c r="A11" s="11" t="s">
        <v>15</v>
      </c>
    </row>
    <row r="12" customFormat="false" ht="15" hidden="false" customHeight="false" outlineLevel="0" collapsed="false">
      <c r="A12" s="2" t="s">
        <v>16</v>
      </c>
    </row>
    <row r="13" customFormat="false" ht="15" hidden="false" customHeight="false" outlineLevel="0" collapsed="false">
      <c r="A13" s="2" t="s">
        <v>17</v>
      </c>
    </row>
    <row r="14" customFormat="false" ht="15" hidden="false" customHeight="false" outlineLevel="0" collapsed="false">
      <c r="A14" s="2" t="s">
        <v>18</v>
      </c>
    </row>
    <row r="15" customFormat="false" ht="15" hidden="false" customHeight="false" outlineLevel="0" collapsed="false">
      <c r="A15" s="2" t="s">
        <v>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0"/>
    <col collapsed="false" customWidth="true" hidden="false" outlineLevel="0" max="3" min="3" style="0" width="14"/>
    <col collapsed="false" customWidth="true" hidden="false" outlineLevel="0" max="4" min="4" style="0" width="36"/>
    <col collapsed="false" customWidth="true" hidden="false" outlineLevel="0" max="6" min="5" style="0" width="60"/>
    <col collapsed="false" customWidth="true" hidden="false" outlineLevel="0" max="7" min="7" style="0" width="16"/>
    <col collapsed="false" customWidth="true" hidden="false" outlineLevel="0" max="8" min="8" style="0" width="36"/>
  </cols>
  <sheetData>
    <row r="1" customFormat="false" ht="15" hidden="false" customHeight="false" outlineLevel="0" collapsed="false">
      <c r="A1" s="12" t="s">
        <v>20</v>
      </c>
      <c r="B1" s="12" t="s">
        <v>2</v>
      </c>
      <c r="C1" s="12" t="s">
        <v>21</v>
      </c>
      <c r="D1" s="12" t="s">
        <v>22</v>
      </c>
      <c r="E1" s="12" t="s">
        <v>23</v>
      </c>
      <c r="F1" s="12" t="s">
        <v>24</v>
      </c>
      <c r="G1" s="12" t="s">
        <v>25</v>
      </c>
      <c r="H1" s="12" t="s">
        <v>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2" min="2" style="0" width="11"/>
    <col collapsed="false" customWidth="true" hidden="false" outlineLevel="0" max="3" min="3" style="0" width="10"/>
    <col collapsed="false" customWidth="true" hidden="false" outlineLevel="0" max="4" min="4" style="0" width="16"/>
  </cols>
  <sheetData>
    <row r="1" customFormat="false" ht="15" hidden="false" customHeight="false" outlineLevel="0" collapsed="false">
      <c r="A1" s="3" t="s">
        <v>27</v>
      </c>
      <c r="B1" s="3" t="s">
        <v>28</v>
      </c>
      <c r="C1" s="3" t="s">
        <v>29</v>
      </c>
      <c r="D1" s="3" t="s">
        <v>30</v>
      </c>
    </row>
    <row r="2" customFormat="false" ht="15" hidden="false" customHeight="false" outlineLevel="0" collapsed="false">
      <c r="A2" s="5" t="s">
        <v>31</v>
      </c>
      <c r="B2" s="13" t="n">
        <v>0.001</v>
      </c>
      <c r="C2" s="5" t="s">
        <v>32</v>
      </c>
      <c r="D2" s="5" t="s">
        <v>33</v>
      </c>
    </row>
    <row r="3" customFormat="false" ht="15" hidden="false" customHeight="false" outlineLevel="0" collapsed="false">
      <c r="A3" s="5" t="s">
        <v>34</v>
      </c>
      <c r="B3" s="13" t="n">
        <v>0.003</v>
      </c>
      <c r="C3" s="5" t="s">
        <v>32</v>
      </c>
      <c r="D3" s="5" t="s">
        <v>33</v>
      </c>
    </row>
    <row r="4" customFormat="false" ht="15" hidden="false" customHeight="false" outlineLevel="0" collapsed="false">
      <c r="A4" s="5" t="s">
        <v>35</v>
      </c>
      <c r="B4" s="13" t="n">
        <v>0.002</v>
      </c>
      <c r="C4" s="5" t="s">
        <v>32</v>
      </c>
      <c r="D4" s="5" t="s">
        <v>33</v>
      </c>
    </row>
    <row r="5" customFormat="false" ht="15" hidden="false" customHeight="false" outlineLevel="0" collapsed="false">
      <c r="A5" s="5" t="s">
        <v>36</v>
      </c>
      <c r="B5" s="13" t="n">
        <v>0.001</v>
      </c>
      <c r="C5" s="5" t="s">
        <v>32</v>
      </c>
      <c r="D5" s="5" t="s">
        <v>33</v>
      </c>
    </row>
    <row r="6" customFormat="false" ht="15" hidden="false" customHeight="false" outlineLevel="0" collapsed="false">
      <c r="A6" s="5" t="s">
        <v>37</v>
      </c>
      <c r="B6" s="13" t="n">
        <v>0.059</v>
      </c>
      <c r="C6" s="5" t="s">
        <v>38</v>
      </c>
      <c r="D6" s="5" t="s">
        <v>39</v>
      </c>
    </row>
    <row r="7" customFormat="false" ht="15" hidden="false" customHeight="false" outlineLevel="0" collapsed="false">
      <c r="A7" s="5" t="s">
        <v>40</v>
      </c>
      <c r="B7" s="13" t="n">
        <v>0.02</v>
      </c>
      <c r="C7" s="5" t="s">
        <v>38</v>
      </c>
      <c r="D7" s="5" t="s">
        <v>39</v>
      </c>
    </row>
    <row r="8" customFormat="false" ht="15" hidden="false" customHeight="false" outlineLevel="0" collapsed="false">
      <c r="A8" s="5" t="s">
        <v>41</v>
      </c>
      <c r="B8" s="13" t="n">
        <v>0.001</v>
      </c>
      <c r="C8" s="5" t="s">
        <v>42</v>
      </c>
      <c r="D8" s="5" t="s">
        <v>39</v>
      </c>
    </row>
    <row r="9" customFormat="false" ht="15" hidden="false" customHeight="false" outlineLevel="0" collapsed="false">
      <c r="A9" s="5" t="s">
        <v>43</v>
      </c>
      <c r="B9" s="13" t="n">
        <v>0.002</v>
      </c>
      <c r="C9" s="5" t="s">
        <v>44</v>
      </c>
      <c r="D9" s="5" t="s">
        <v>45</v>
      </c>
    </row>
    <row r="10" customFormat="false" ht="15" hidden="false" customHeight="false" outlineLevel="0" collapsed="false">
      <c r="A10" s="5" t="s">
        <v>46</v>
      </c>
      <c r="B10" s="13" t="n">
        <v>0.004</v>
      </c>
      <c r="C10" s="5" t="s">
        <v>32</v>
      </c>
      <c r="D10" s="5" t="s">
        <v>33</v>
      </c>
    </row>
    <row r="11" customFormat="false" ht="15" hidden="false" customHeight="false" outlineLevel="0" collapsed="false">
      <c r="A11" s="5" t="s">
        <v>47</v>
      </c>
      <c r="B11" s="13" t="n">
        <v>0.088</v>
      </c>
      <c r="C11" s="5" t="s">
        <v>48</v>
      </c>
      <c r="D11" s="5" t="s">
        <v>49</v>
      </c>
    </row>
    <row r="12" customFormat="false" ht="15" hidden="false" customHeight="false" outlineLevel="0" collapsed="false">
      <c r="A12" s="5" t="s">
        <v>50</v>
      </c>
      <c r="B12" s="13" t="n">
        <v>0</v>
      </c>
      <c r="C12" s="5" t="s">
        <v>38</v>
      </c>
      <c r="D12" s="5" t="s">
        <v>49</v>
      </c>
    </row>
    <row r="13" customFormat="false" ht="15" hidden="false" customHeight="false" outlineLevel="0" collapsed="false">
      <c r="A13" s="5" t="s">
        <v>51</v>
      </c>
      <c r="B13" s="13" t="n">
        <v>0</v>
      </c>
      <c r="C13" s="5" t="s">
        <v>38</v>
      </c>
      <c r="D13" s="5" t="s">
        <v>49</v>
      </c>
    </row>
    <row r="14" customFormat="false" ht="15" hidden="false" customHeight="false" outlineLevel="0" collapsed="false">
      <c r="A14" s="5" t="s">
        <v>52</v>
      </c>
      <c r="B14" s="13" t="n">
        <v>0</v>
      </c>
      <c r="C14" s="5" t="s">
        <v>38</v>
      </c>
      <c r="D14" s="5" t="s">
        <v>49</v>
      </c>
    </row>
    <row r="15" customFormat="false" ht="15" hidden="false" customHeight="false" outlineLevel="0" collapsed="false">
      <c r="A15" s="5" t="s">
        <v>53</v>
      </c>
      <c r="B15" s="13" t="n">
        <v>0.005</v>
      </c>
      <c r="C15" s="5" t="s">
        <v>54</v>
      </c>
      <c r="D15" s="5" t="s">
        <v>55</v>
      </c>
    </row>
    <row r="16" customFormat="false" ht="15" hidden="false" customHeight="false" outlineLevel="0" collapsed="false">
      <c r="A16" s="5" t="s">
        <v>56</v>
      </c>
      <c r="B16" s="13" t="n">
        <v>0</v>
      </c>
      <c r="C16" s="5" t="s">
        <v>42</v>
      </c>
      <c r="D16" s="5" t="s">
        <v>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2026-10-07T10:27:24Z</dcterms:created>
  <dc:creator>openpyxl</dc:creator>
  <dc:description/>
  <dc:language>en-US</dc:language>
  <cp:lastModifiedBy/>
  <dcterms:modified xsi:type="dcterms:W3CDTF">2026-10-07T10:27:24Z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