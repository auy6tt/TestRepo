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Checklist" sheetId="3" state="visible" r:id="rId3"/>
  </sheets>
  <definedNames>
    <definedName name="_xlnm._FilterDatabase" localSheetId="2" hidden="1">'Checklist'!$A$1:$K$55</definedName>
    <definedName name="_xlnm.Print_Titles" localSheetId="2">'Checklist'!$1:$1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1F3864"/>
      <sz val="11"/>
    </font>
    <font>
      <name val="Arial"/>
      <b val="1"/>
      <color rgb="00FFFFFF"/>
      <sz val="10"/>
    </font>
    <font>
      <name val="Arial"/>
      <color theme="1"/>
      <sz val="10"/>
    </font>
  </fonts>
  <fills count="4">
    <fill>
      <patternFill/>
    </fill>
    <fill>
      <patternFill patternType="gray125"/>
    </fill>
    <fill>
      <patternFill patternType="solid">
        <fgColor rgb="001F3864"/>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6" fillId="2" borderId="1" applyAlignment="1" pivotButton="0" quotePrefix="0" xfId="0">
      <alignment vertical="center" wrapText="1"/>
    </xf>
    <xf numFmtId="0" fontId="7" fillId="3" borderId="2" applyAlignment="1" pivotButton="0" quotePrefix="0" xfId="0">
      <alignment vertical="top" wrapText="1"/>
    </xf>
    <xf numFmtId="0" fontId="7" fillId="0" borderId="2" applyAlignment="1" pivotButton="0" quotePrefix="0" xfId="0">
      <alignment vertical="top" wrapText="1"/>
    </xf>
    <xf numFmtId="9" fontId="7" fillId="0" borderId="2" applyAlignment="1" pivotButton="0" quotePrefix="0" xfId="0">
      <alignment vertical="top" wrapText="1"/>
    </xf>
    <xf numFmtId="0" fontId="3" fillId="0" borderId="2" applyAlignment="1" pivotButton="0" quotePrefix="0" xfId="0">
      <alignment vertical="top" wrapText="1"/>
    </xf>
    <xf numFmtId="9" fontId="3" fillId="0" borderId="2" applyAlignment="1" pivotButton="0" quotePrefix="0" xfId="0">
      <alignment vertical="top" wrapText="1"/>
    </xf>
    <xf numFmtId="0" fontId="2" fillId="0" borderId="0" applyAlignment="1" pivotButton="0" quotePrefix="0" xfId="0">
      <alignment wrapText="1"/>
    </xf>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E4DFEC"/>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24" customWidth="1" min="1" max="1"/>
    <col width="16" customWidth="1" min="2" max="2"/>
    <col width="36" customWidth="1" min="3" max="3"/>
    <col width="18" customWidth="1" min="4" max="4"/>
    <col width="13" customWidth="1" min="5" max="5"/>
    <col width="50" customWidth="1" min="6" max="6"/>
  </cols>
  <sheetData>
    <row r="1">
      <c r="A1" s="1" t="inlineStr">
        <is>
          <t>CRA gap checklist: Sprout S1</t>
        </is>
      </c>
    </row>
    <row r="2">
      <c r="A2" s="2" t="inlineStr">
        <is>
          <t>Plain-English summary of the EU Cyber Resilience Act (Regulation (EU) 2024/2847) for small makers. Not the legal text and not legal advice.</t>
        </is>
      </c>
    </row>
    <row r="4">
      <c r="A4" s="3" t="inlineStr">
        <is>
          <t>Client</t>
        </is>
      </c>
      <c r="B4" s="4" t="inlineStr">
        <is>
          <t>Mossbyte Labs BV (fictional)</t>
        </is>
      </c>
    </row>
    <row r="5">
      <c r="A5" s="3" t="inlineStr">
        <is>
          <t>Product</t>
        </is>
      </c>
      <c r="B5" s="4" t="inlineStr">
        <is>
          <t>Sprout S1</t>
        </is>
      </c>
    </row>
    <row r="6">
      <c r="A6" s="3" t="inlineStr">
        <is>
          <t>Prepared by</t>
        </is>
      </c>
      <c r="B6" s="4" t="inlineStr">
        <is>
          <t>Alex Example, Example Consulting (fictional)</t>
        </is>
      </c>
    </row>
    <row r="7">
      <c r="A7" s="3" t="inlineStr">
        <is>
          <t>Status as of</t>
        </is>
      </c>
      <c r="B7" s="4" t="inlineStr">
        <is>
          <t>2026-10-07</t>
        </is>
      </c>
    </row>
    <row r="9">
      <c r="A9" s="5" t="inlineStr">
        <is>
          <t>How to fill it in</t>
        </is>
      </c>
    </row>
    <row r="10" ht="15" customHeight="1">
      <c r="A10" s="6" t="inlineStr">
        <is>
          <t>1. Work through the 'Checklist' sheet with the client, one area at a time (about 60 to 90 minutes).</t>
        </is>
      </c>
    </row>
    <row r="11" ht="15" customHeight="1">
      <c r="A11" s="6" t="inlineStr">
        <is>
          <t>2. Fill in only the yellow columns: Status, Evidence, Owner, Target date and Notes / gaps.</t>
        </is>
      </c>
    </row>
    <row r="12" ht="15" customHeight="1">
      <c r="A12" s="6" t="inlineStr">
        <is>
          <t>3. Status: pick from the list. Use 'Needs lawyer' for anything about scope, category, role or conformity.</t>
        </is>
      </c>
    </row>
    <row r="13" ht="15" customHeight="1">
      <c r="A13" s="6" t="inlineStr">
        <is>
          <t>4. Evidence: the file name or link that proves the item (for example 'vulnerability-report.xlsx, 2026-10-07').</t>
        </is>
      </c>
    </row>
    <row r="14" ht="15" customHeight="1">
      <c r="A14" s="6" t="inlineStr">
        <is>
          <t>5. The 'Summary' sheet counts progress per area by itself.</t>
        </is>
      </c>
    </row>
    <row r="16">
      <c r="A16" s="5" t="inlineStr">
        <is>
          <t>What the statuses mean</t>
        </is>
      </c>
    </row>
    <row r="17" ht="15" customHeight="1">
      <c r="A17" s="6" t="inlineStr">
        <is>
          <t>Not started: nothing in place yet.</t>
        </is>
      </c>
    </row>
    <row r="18" ht="15" customHeight="1">
      <c r="A18" s="6" t="inlineStr">
        <is>
          <t>In progress: partly done, or done but not yet approved or published.</t>
        </is>
      </c>
    </row>
    <row r="19" ht="15" customHeight="1">
      <c r="A19" s="6" t="inlineStr">
        <is>
          <t>Done: in place, with evidence you could show an authority.</t>
        </is>
      </c>
    </row>
    <row r="20" ht="15" customHeight="1">
      <c r="A20" s="6" t="inlineStr">
        <is>
          <t>Needs lawyer: waiting for a legal answer. Do not guess.</t>
        </is>
      </c>
    </row>
    <row r="21" ht="15" customHeight="1">
      <c r="A21" s="6" t="inlineStr">
        <is>
          <t>Not applicable: does not apply to this product; say why in Notes.</t>
        </is>
      </c>
    </row>
    <row r="23">
      <c r="A23" s="5" t="inlineStr">
        <is>
          <t>Key dates (verify current dates)</t>
        </is>
      </c>
    </row>
    <row r="24" ht="28" customHeight="1">
      <c r="A24" s="6" t="inlineStr">
        <is>
          <t>11 September 2026: reporting of actively exploited vulnerabilities and severe incidents to ENISA's single reporting platform applies (early warning within 24 hours, notification within 72 hours, then a final report).</t>
        </is>
      </c>
    </row>
    <row r="25" ht="15" customHeight="1">
      <c r="A25" s="6" t="inlineStr">
        <is>
          <t>11 December 2027: all other CRA obligations apply.</t>
        </is>
      </c>
    </row>
    <row r="27">
      <c r="A27" s="5" t="inlineStr">
        <is>
          <t>Ground rules</t>
        </is>
      </c>
    </row>
    <row r="28" ht="15" customHeight="1">
      <c r="A28" s="6" t="inlineStr">
        <is>
          <t>This checklist shows gaps. Completing it does not make a product 'CRA compliant'.</t>
        </is>
      </c>
    </row>
    <row r="29" ht="15" customHeight="1">
      <c r="A29" s="6" t="inlineStr">
        <is>
          <t>Scope, product category, role and conformity assessment questions go to the client's lawyer.</t>
        </is>
      </c>
    </row>
    <row r="30" ht="15" customHeight="1">
      <c r="A30" s="6" t="inlineStr">
        <is>
          <t>The manufacturer signs the EU declaration of conformity, never the consultant.</t>
        </is>
      </c>
    </row>
    <row r="31" ht="15" customHeight="1">
      <c r="A31" s="6" t="inlineStr">
        <is>
          <t>References point to Regulation (EU) 2024/2847. Check the official text for the exact wording.</t>
        </is>
      </c>
    </row>
    <row r="33">
      <c r="A33" s="5" t="inlineStr">
        <is>
          <t>Example of a filled-in row</t>
        </is>
      </c>
    </row>
    <row r="34">
      <c r="A34" s="7" t="inlineStr">
        <is>
          <t>ID</t>
        </is>
      </c>
      <c r="B34" s="7" t="inlineStr">
        <is>
          <t>Status</t>
        </is>
      </c>
      <c r="C34" s="7" t="inlineStr">
        <is>
          <t>Evidence (file or link)</t>
        </is>
      </c>
      <c r="D34" s="7" t="inlineStr">
        <is>
          <t>Owner</t>
        </is>
      </c>
      <c r="E34" s="7" t="inlineStr">
        <is>
          <t>Target date</t>
        </is>
      </c>
      <c r="F34" s="7" t="inlineStr">
        <is>
          <t>Notes / gaps</t>
        </is>
      </c>
    </row>
    <row r="35">
      <c r="A35" s="8" t="inlineStr">
        <is>
          <t>P2</t>
        </is>
      </c>
      <c r="B35" s="8" t="inlineStr">
        <is>
          <t>In progress</t>
        </is>
      </c>
      <c r="C35" s="8" t="inlineStr">
        <is>
          <t>vulnerability-report.xlsx (2026-10-07)</t>
        </is>
      </c>
      <c r="D35" s="8" t="inlineStr">
        <is>
          <t>Firmware lead</t>
        </is>
      </c>
      <c r="E35" s="8" t="inlineStr">
        <is>
          <t>2026-11-30</t>
        </is>
      </c>
      <c r="F35" s="8" t="inlineStr">
        <is>
          <t>6 updates planned for release 2.4; 1 finding marked 'not affected'.</t>
        </is>
      </c>
    </row>
  </sheetData>
  <mergeCells count="16">
    <mergeCell ref="A24:F24"/>
    <mergeCell ref="A11:F11"/>
    <mergeCell ref="A10:F10"/>
    <mergeCell ref="A28:F28"/>
    <mergeCell ref="A30:F30"/>
    <mergeCell ref="A13:F13"/>
    <mergeCell ref="A14:F14"/>
    <mergeCell ref="A19:F19"/>
    <mergeCell ref="A31:F31"/>
    <mergeCell ref="A17:F17"/>
    <mergeCell ref="A12:F12"/>
    <mergeCell ref="A18:F18"/>
    <mergeCell ref="A20:F20"/>
    <mergeCell ref="A21:F21"/>
    <mergeCell ref="A29:F2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4" customWidth="1" min="1" max="1"/>
    <col width="9" customWidth="1" min="2" max="2"/>
    <col width="9" customWidth="1" min="3" max="3"/>
    <col width="12" customWidth="1" min="4" max="4"/>
    <col width="12" customWidth="1" min="5" max="5"/>
    <col width="13" customWidth="1" min="6" max="6"/>
    <col width="15" customWidth="1" min="7" max="7"/>
    <col width="11" customWidth="1" min="8" max="8"/>
  </cols>
  <sheetData>
    <row r="1">
      <c r="A1" s="1" t="inlineStr">
        <is>
          <t>Progress by area</t>
        </is>
      </c>
    </row>
    <row r="2">
      <c r="A2" s="2" t="inlineStr">
        <is>
          <t>Counts update automatically from the Checklist sheet.</t>
        </is>
      </c>
    </row>
    <row r="4">
      <c r="A4" s="7" t="inlineStr">
        <is>
          <t>Area</t>
        </is>
      </c>
      <c r="B4" s="7" t="inlineStr">
        <is>
          <t>Items</t>
        </is>
      </c>
      <c r="C4" s="7" t="inlineStr">
        <is>
          <t>Done</t>
        </is>
      </c>
      <c r="D4" s="7" t="inlineStr">
        <is>
          <t>In progress</t>
        </is>
      </c>
      <c r="E4" s="7" t="inlineStr">
        <is>
          <t>Not started</t>
        </is>
      </c>
      <c r="F4" s="7" t="inlineStr">
        <is>
          <t>Needs lawyer</t>
        </is>
      </c>
      <c r="G4" s="7" t="inlineStr">
        <is>
          <t>Not applicable</t>
        </is>
      </c>
      <c r="H4" s="7" t="inlineStr">
        <is>
          <t>Progress</t>
        </is>
      </c>
    </row>
    <row r="5">
      <c r="A5" s="9" t="inlineStr">
        <is>
          <t>1. Scope and roles</t>
        </is>
      </c>
      <c r="B5" s="9">
        <f>COUNTIF(Checklist!$B$2:$B$500,$A5)</f>
        <v>5</v>
      </c>
      <c r="C5" s="9">
        <f>COUNTIFS(Checklist!$B$2:$B$500,$A5,Checklist!$G$2:$G$500,"Done")</f>
        <v>0</v>
      </c>
      <c r="D5" s="9">
        <f>COUNTIFS(Checklist!$B$2:$B$500,$A5,Checklist!$G$2:$G$500,"In progress")</f>
        <v>0</v>
      </c>
      <c r="E5" s="9">
        <f>COUNTIFS(Checklist!$B$2:$B$500,$A5,Checklist!$G$2:$G$500,"Not started")</f>
        <v>0</v>
      </c>
      <c r="F5" s="9">
        <f>COUNTIFS(Checklist!$B$2:$B$500,$A5,Checklist!$G$2:$G$500,"Needs lawyer")</f>
        <v>5</v>
      </c>
      <c r="G5" s="9">
        <f>COUNTIFS(Checklist!$B$2:$B$500,$A5,Checklist!$G$2:$G$500,"Not applicable")</f>
        <v>0</v>
      </c>
      <c r="H5" s="10">
        <f>IFERROR(C5/(B5-G5),0)</f>
        <v>0.0</v>
      </c>
    </row>
    <row r="6">
      <c r="A6" s="9" t="inlineStr">
        <is>
          <t>2. Risk assessment and documentation</t>
        </is>
      </c>
      <c r="B6" s="9">
        <f>COUNTIF(Checklist!$B$2:$B$500,$A6)</f>
        <v>6</v>
      </c>
      <c r="C6" s="9">
        <f>COUNTIFS(Checklist!$B$2:$B$500,$A6,Checklist!$G$2:$G$500,"Done")</f>
        <v>1</v>
      </c>
      <c r="D6" s="9">
        <f>COUNTIFS(Checklist!$B$2:$B$500,$A6,Checklist!$G$2:$G$500,"In progress")</f>
        <v>1</v>
      </c>
      <c r="E6" s="9">
        <f>COUNTIFS(Checklist!$B$2:$B$500,$A6,Checklist!$G$2:$G$500,"Not started")</f>
        <v>3</v>
      </c>
      <c r="F6" s="9">
        <f>COUNTIFS(Checklist!$B$2:$B$500,$A6,Checklist!$G$2:$G$500,"Needs lawyer")</f>
        <v>1</v>
      </c>
      <c r="G6" s="9">
        <f>COUNTIFS(Checklist!$B$2:$B$500,$A6,Checklist!$G$2:$G$500,"Not applicable")</f>
        <v>0</v>
      </c>
      <c r="H6" s="10">
        <f>IFERROR(C6/(B6-G6),0)</f>
        <v>0.166667</v>
      </c>
    </row>
    <row r="7">
      <c r="A7" s="9" t="inlineStr">
        <is>
          <t>3. Secure by design (Annex I, Part I)</t>
        </is>
      </c>
      <c r="B7" s="9">
        <f>COUNTIF(Checklist!$B$2:$B$500,$A7)</f>
        <v>14</v>
      </c>
      <c r="C7" s="9">
        <f>COUNTIFS(Checklist!$B$2:$B$500,$A7,Checklist!$G$2:$G$500,"Done")</f>
        <v>5</v>
      </c>
      <c r="D7" s="9">
        <f>COUNTIFS(Checklist!$B$2:$B$500,$A7,Checklist!$G$2:$G$500,"In progress")</f>
        <v>6</v>
      </c>
      <c r="E7" s="9">
        <f>COUNTIFS(Checklist!$B$2:$B$500,$A7,Checklist!$G$2:$G$500,"Not started")</f>
        <v>3</v>
      </c>
      <c r="F7" s="9">
        <f>COUNTIFS(Checklist!$B$2:$B$500,$A7,Checklist!$G$2:$G$500,"Needs lawyer")</f>
        <v>0</v>
      </c>
      <c r="G7" s="9">
        <f>COUNTIFS(Checklist!$B$2:$B$500,$A7,Checklist!$G$2:$G$500,"Not applicable")</f>
        <v>0</v>
      </c>
      <c r="H7" s="10">
        <f>IFERROR(C7/(B7-G7),0)</f>
        <v>0.357143</v>
      </c>
    </row>
    <row r="8">
      <c r="A8" s="9" t="inlineStr">
        <is>
          <t>4. Vulnerability handling (Annex I, Part II)</t>
        </is>
      </c>
      <c r="B8" s="9">
        <f>COUNTIF(Checklist!$B$2:$B$500,$A8)</f>
        <v>10</v>
      </c>
      <c r="C8" s="9">
        <f>COUNTIFS(Checklist!$B$2:$B$500,$A8,Checklist!$G$2:$G$500,"Done")</f>
        <v>0</v>
      </c>
      <c r="D8" s="9">
        <f>COUNTIFS(Checklist!$B$2:$B$500,$A8,Checklist!$G$2:$G$500,"In progress")</f>
        <v>6</v>
      </c>
      <c r="E8" s="9">
        <f>COUNTIFS(Checklist!$B$2:$B$500,$A8,Checklist!$G$2:$G$500,"Not started")</f>
        <v>4</v>
      </c>
      <c r="F8" s="9">
        <f>COUNTIFS(Checklist!$B$2:$B$500,$A8,Checklist!$G$2:$G$500,"Needs lawyer")</f>
        <v>0</v>
      </c>
      <c r="G8" s="9">
        <f>COUNTIFS(Checklist!$B$2:$B$500,$A8,Checklist!$G$2:$G$500,"Not applicable")</f>
        <v>0</v>
      </c>
      <c r="H8" s="10">
        <f>IFERROR(C8/(B8-G8),0)</f>
        <v>0.0</v>
      </c>
    </row>
    <row r="9">
      <c r="A9" s="9" t="inlineStr">
        <is>
          <t>5. Reporting (applies since 11 September 2026)</t>
        </is>
      </c>
      <c r="B9" s="9">
        <f>COUNTIF(Checklist!$B$2:$B$500,$A9)</f>
        <v>6</v>
      </c>
      <c r="C9" s="9">
        <f>COUNTIFS(Checklist!$B$2:$B$500,$A9,Checklist!$G$2:$G$500,"Done")</f>
        <v>1</v>
      </c>
      <c r="D9" s="9">
        <f>COUNTIFS(Checklist!$B$2:$B$500,$A9,Checklist!$G$2:$G$500,"In progress")</f>
        <v>4</v>
      </c>
      <c r="E9" s="9">
        <f>COUNTIFS(Checklist!$B$2:$B$500,$A9,Checklist!$G$2:$G$500,"Not started")</f>
        <v>1</v>
      </c>
      <c r="F9" s="9">
        <f>COUNTIFS(Checklist!$B$2:$B$500,$A9,Checklist!$G$2:$G$500,"Needs lawyer")</f>
        <v>0</v>
      </c>
      <c r="G9" s="9">
        <f>COUNTIFS(Checklist!$B$2:$B$500,$A9,Checklist!$G$2:$G$500,"Not applicable")</f>
        <v>0</v>
      </c>
      <c r="H9" s="10">
        <f>IFERROR(C9/(B9-G9),0)</f>
        <v>0.166667</v>
      </c>
    </row>
    <row r="10">
      <c r="A10" s="9" t="inlineStr">
        <is>
          <t>6. Support period and updates</t>
        </is>
      </c>
      <c r="B10" s="9">
        <f>COUNTIF(Checklist!$B$2:$B$500,$A10)</f>
        <v>4</v>
      </c>
      <c r="C10" s="9">
        <f>COUNTIFS(Checklist!$B$2:$B$500,$A10,Checklist!$G$2:$G$500,"Done")</f>
        <v>0</v>
      </c>
      <c r="D10" s="9">
        <f>COUNTIFS(Checklist!$B$2:$B$500,$A10,Checklist!$G$2:$G$500,"In progress")</f>
        <v>2</v>
      </c>
      <c r="E10" s="9">
        <f>COUNTIFS(Checklist!$B$2:$B$500,$A10,Checklist!$G$2:$G$500,"Not started")</f>
        <v>2</v>
      </c>
      <c r="F10" s="9">
        <f>COUNTIFS(Checklist!$B$2:$B$500,$A10,Checklist!$G$2:$G$500,"Needs lawyer")</f>
        <v>0</v>
      </c>
      <c r="G10" s="9">
        <f>COUNTIFS(Checklist!$B$2:$B$500,$A10,Checklist!$G$2:$G$500,"Not applicable")</f>
        <v>0</v>
      </c>
      <c r="H10" s="10">
        <f>IFERROR(C10/(B10-G10),0)</f>
        <v>0.0</v>
      </c>
    </row>
    <row r="11">
      <c r="A11" s="9" t="inlineStr">
        <is>
          <t>7. Information for users (Annex II)</t>
        </is>
      </c>
      <c r="B11" s="9">
        <f>COUNTIF(Checklist!$B$2:$B$500,$A11)</f>
        <v>9</v>
      </c>
      <c r="C11" s="9">
        <f>COUNTIFS(Checklist!$B$2:$B$500,$A11,Checklist!$G$2:$G$500,"Done")</f>
        <v>2</v>
      </c>
      <c r="D11" s="9">
        <f>COUNTIFS(Checklist!$B$2:$B$500,$A11,Checklist!$G$2:$G$500,"In progress")</f>
        <v>3</v>
      </c>
      <c r="E11" s="9">
        <f>COUNTIFS(Checklist!$B$2:$B$500,$A11,Checklist!$G$2:$G$500,"Not started")</f>
        <v>3</v>
      </c>
      <c r="F11" s="9">
        <f>COUNTIFS(Checklist!$B$2:$B$500,$A11,Checklist!$G$2:$G$500,"Needs lawyer")</f>
        <v>0</v>
      </c>
      <c r="G11" s="9">
        <f>COUNTIFS(Checklist!$B$2:$B$500,$A11,Checklist!$G$2:$G$500,"Not applicable")</f>
        <v>1</v>
      </c>
      <c r="H11" s="10">
        <f>IFERROR(C11/(B11-G11),0)</f>
        <v>0.25</v>
      </c>
    </row>
    <row r="12">
      <c r="A12" s="11" t="inlineStr">
        <is>
          <t>All areas</t>
        </is>
      </c>
      <c r="B12" s="11">
        <f>SUM(B5:B11)</f>
        <v>54</v>
      </c>
      <c r="C12" s="11">
        <f>SUM(C5:C11)</f>
        <v>9</v>
      </c>
      <c r="D12" s="11">
        <f>SUM(D5:D11)</f>
        <v>22</v>
      </c>
      <c r="E12" s="11">
        <f>SUM(E5:E11)</f>
        <v>16</v>
      </c>
      <c r="F12" s="11">
        <f>SUM(F5:F11)</f>
        <v>6</v>
      </c>
      <c r="G12" s="11">
        <f>SUM(G5:G11)</f>
        <v>1</v>
      </c>
      <c r="H12" s="12">
        <f>IFERROR(C12/(B12-G12),0)</f>
        <v>0.169811</v>
      </c>
    </row>
    <row r="14" ht="28" customHeight="1">
      <c r="A14" s="13" t="inlineStr">
        <is>
          <t>Progress = Done ÷ (Items − Not applicable). 100% means every applicable item has evidence. It does not mean the product is CRA compliant.</t>
        </is>
      </c>
    </row>
  </sheetData>
  <mergeCells count="1">
    <mergeCell ref="A14:H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K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58" customWidth="1" min="3" max="3"/>
    <col width="16" customWidth="1" min="4" max="4"/>
    <col width="34" customWidth="1" min="5" max="5"/>
    <col width="40" customWidth="1" min="6" max="6"/>
    <col width="14" customWidth="1" min="7" max="7"/>
    <col width="30" customWidth="1" min="8" max="8"/>
    <col width="18" customWidth="1" min="9" max="9"/>
    <col width="12" customWidth="1" min="10" max="10"/>
    <col width="40" customWidth="1" min="11" max="11"/>
  </cols>
  <sheetData>
    <row r="1">
      <c r="A1" s="7" t="inlineStr">
        <is>
          <t>ID</t>
        </is>
      </c>
      <c r="B1" s="7" t="inlineStr">
        <is>
          <t>Area</t>
        </is>
      </c>
      <c r="C1" s="7" t="inlineStr">
        <is>
          <t>Requirement (plain English)</t>
        </is>
      </c>
      <c r="D1" s="7" t="inlineStr">
        <is>
          <t>CRA reference</t>
        </is>
      </c>
      <c r="E1" s="7" t="inlineStr">
        <is>
          <t>What good evidence looks like</t>
        </is>
      </c>
      <c r="F1" s="7" t="inlineStr">
        <is>
          <t>Quick win for small makers</t>
        </is>
      </c>
      <c r="G1" s="7" t="inlineStr">
        <is>
          <t>Status</t>
        </is>
      </c>
      <c r="H1" s="7" t="inlineStr">
        <is>
          <t>Evidence (file or link)</t>
        </is>
      </c>
      <c r="I1" s="7" t="inlineStr">
        <is>
          <t>Owner</t>
        </is>
      </c>
      <c r="J1" s="7" t="inlineStr">
        <is>
          <t>Target date</t>
        </is>
      </c>
      <c r="K1" s="7" t="inlineStr">
        <is>
          <t>Notes / gaps</t>
        </is>
      </c>
    </row>
    <row r="2">
      <c r="A2" s="11" t="inlineStr">
        <is>
          <t>S1</t>
        </is>
      </c>
      <c r="B2" s="9" t="inlineStr">
        <is>
          <t>1. Scope and roles</t>
        </is>
      </c>
      <c r="C2" s="9" t="inlineStr">
        <is>
          <t>Confirm whether the CRA applies to each product: is it hardware or software with a data connection, sold or supplied in the EU, and does any exclusion apply (for example medical devices, vehicles, or products covered by other EU sector rules)?</t>
        </is>
      </c>
      <c r="D2" s="9" t="inlineStr">
        <is>
          <t>Art. 2, Art. 3</t>
        </is>
      </c>
      <c r="E2" s="9" t="inlineStr">
        <is>
          <t>A short written scope note per product from the lawyer.</t>
        </is>
      </c>
      <c r="F2" s="9" t="inlineStr">
        <is>
          <t>List every product and version you sell into the EU and how it connects (Wi-Fi, Bluetooth, app, cloud). Hand the list to the lawyer.</t>
        </is>
      </c>
      <c r="G2" s="8" t="inlineStr">
        <is>
          <t>Needs lawyer</t>
        </is>
      </c>
      <c r="H2" s="8" t="inlineStr"/>
      <c r="I2" s="8" t="inlineStr">
        <is>
          <t>Pieter Claes (CEO) with the lawyer</t>
        </is>
      </c>
      <c r="J2" s="8" t="inlineStr">
        <is>
          <t>2026-10-21</t>
        </is>
      </c>
      <c r="K2" s="8" t="inlineStr">
        <is>
          <t>Lawyer meeting booked for 21 October. Product list and connection diagram sent.</t>
        </is>
      </c>
    </row>
    <row r="3">
      <c r="A3" s="11" t="inlineStr">
        <is>
          <t>S2</t>
        </is>
      </c>
      <c r="B3" s="9" t="inlineStr">
        <is>
          <t>1. Scope and roles</t>
        </is>
      </c>
      <c r="C3" s="9" t="inlineStr">
        <is>
          <t>Confirm the product's category: default, important (class I or II) or critical. The category decides how conformity must be assessed.</t>
        </is>
      </c>
      <c r="D3" s="9" t="inlineStr">
        <is>
          <t>Art. 7, Art. 8, Annex III, Annex IV</t>
        </is>
      </c>
      <c r="E3" s="9" t="inlineStr">
        <is>
          <t>The lawyer's category decision with reasons.</t>
        </is>
      </c>
      <c r="F3" s="9" t="inlineStr">
        <is>
          <t>Write down the product's main function and any security features (locks, cameras, alarms, routers, password storage) for the lawyer.</t>
        </is>
      </c>
      <c r="G3" s="8" t="inlineStr">
        <is>
          <t>Needs lawyer</t>
        </is>
      </c>
      <c r="H3" s="8" t="inlineStr"/>
      <c r="I3" s="8" t="inlineStr">
        <is>
          <t>Lawyer</t>
        </is>
      </c>
      <c r="J3" s="8" t="inlineStr">
        <is>
          <t>2026-10-21</t>
        </is>
      </c>
      <c r="K3" s="8" t="inlineStr">
        <is>
          <t>Plant sensor with no security function; the lawyer to confirm the category.</t>
        </is>
      </c>
    </row>
    <row r="4">
      <c r="A4" s="11" t="inlineStr">
        <is>
          <t>S3</t>
        </is>
      </c>
      <c r="B4" s="9" t="inlineStr">
        <is>
          <t>1. Scope and roles</t>
        </is>
      </c>
      <c r="C4" s="9" t="inlineStr">
        <is>
          <t>Confirm your role for each product: manufacturer, importer or distributor. A company outside the EU should also decide who imports and whether to appoint an authorised representative in the EU.</t>
        </is>
      </c>
      <c r="D4" s="9" t="inlineStr">
        <is>
          <t>Art. 13, Art. 18 to 20</t>
        </is>
      </c>
      <c r="E4" s="9" t="inlineStr">
        <is>
          <t>Role per product, confirmed by the lawyer.</t>
        </is>
      </c>
      <c r="F4" s="9" t="inlineStr">
        <is>
          <t>Note who designs the product, under whose name it is sold, and who brings it into the EU.</t>
        </is>
      </c>
      <c r="G4" s="8" t="inlineStr">
        <is>
          <t>Needs lawyer</t>
        </is>
      </c>
      <c r="H4" s="8" t="inlineStr"/>
      <c r="I4" s="8" t="inlineStr">
        <is>
          <t>Lawyer</t>
        </is>
      </c>
      <c r="J4" s="8" t="inlineStr">
        <is>
          <t>2026-10-21</t>
        </is>
      </c>
      <c r="K4" s="8" t="inlineStr">
        <is>
          <t>Mossbyte designs the product and sells it under its own name from Belgium. Lawyer to confirm the role.</t>
        </is>
      </c>
    </row>
    <row r="5">
      <c r="A5" s="11" t="inlineStr">
        <is>
          <t>S4</t>
        </is>
      </c>
      <c r="B5" s="9" t="inlineStr">
        <is>
          <t>1. Scope and roles</t>
        </is>
      </c>
      <c r="C5" s="9" t="inlineStr">
        <is>
          <t>Check which other EU rules apply at the same time, for example the cybersecurity rules for wireless products under the Radio Equipment Directive, data protection law (GDPR) and product safety rules.</t>
        </is>
      </c>
      <c r="D5" s="9" t="inlineStr">
        <is>
          <t>Other EU law</t>
        </is>
      </c>
      <c r="E5" s="9" t="inlineStr">
        <is>
          <t>List of applicable rules from the lawyer or test lab.</t>
        </is>
      </c>
      <c r="F5" s="9" t="inlineStr">
        <is>
          <t>If the product has Wi-Fi, Bluetooth, LoRa or mobile data, ask your test lab about the radio cybersecurity standards (EN 18031 series).</t>
        </is>
      </c>
      <c r="G5" s="8" t="inlineStr">
        <is>
          <t>Needs lawyer</t>
        </is>
      </c>
      <c r="H5" s="8" t="inlineStr"/>
      <c r="I5" s="8" t="inlineStr">
        <is>
          <t>Lawyer and test lab</t>
        </is>
      </c>
      <c r="J5" s="8" t="inlineStr">
        <is>
          <t>2026-11-15</t>
        </is>
      </c>
      <c r="K5" s="8" t="inlineStr">
        <is>
          <t>Wi-Fi product: ask the test lab about the radio equipment cybersecurity standards (EN 18031 series).</t>
        </is>
      </c>
    </row>
    <row r="6">
      <c r="A6" s="11" t="inlineStr">
        <is>
          <t>S5</t>
        </is>
      </c>
      <c r="B6" s="9" t="inlineStr">
        <is>
          <t>1. Scope and roles</t>
        </is>
      </c>
      <c r="C6" s="9" t="inlineStr">
        <is>
          <t>If the product needs a cloud service or app to do its job, ask whether that service counts as part of the product (remote data processing) and so must meet the same requirements.</t>
        </is>
      </c>
      <c r="D6" s="9" t="inlineStr">
        <is>
          <t>Art. 3</t>
        </is>
      </c>
      <c r="E6" s="9" t="inlineStr">
        <is>
          <t>The lawyer's answer, recorded in the scope note.</t>
        </is>
      </c>
      <c r="F6" s="9" t="inlineStr">
        <is>
          <t>Draw a simple diagram: device, app, cloud, and which functions need which part.</t>
        </is>
      </c>
      <c r="G6" s="8" t="inlineStr">
        <is>
          <t>Needs lawyer</t>
        </is>
      </c>
      <c r="H6" s="8" t="inlineStr"/>
      <c r="I6" s="8" t="inlineStr">
        <is>
          <t>Lawyer</t>
        </is>
      </c>
      <c r="J6" s="8" t="inlineStr">
        <is>
          <t>2026-10-21</t>
        </is>
      </c>
      <c r="K6" s="8" t="inlineStr">
        <is>
          <t>Watering alerts need Sprout Cloud. Is the cloud service part of the product?</t>
        </is>
      </c>
    </row>
    <row r="7">
      <c r="A7" s="11" t="inlineStr">
        <is>
          <t>D1</t>
        </is>
      </c>
      <c r="B7" s="9" t="inlineStr">
        <is>
          <t>2. Risk assessment and documentation</t>
        </is>
      </c>
      <c r="C7" s="9" t="inlineStr">
        <is>
          <t>Carry out a cybersecurity risk assessment for the product, write it down, keep it up to date during the support period, and use it when designing, building, delivering and maintaining the product.</t>
        </is>
      </c>
      <c r="D7" s="9" t="inlineStr">
        <is>
          <t>Art. 13</t>
        </is>
      </c>
      <c r="E7" s="9" t="inlineStr">
        <is>
          <t>Dated, versioned risk assessment that links risks to design decisions.</t>
        </is>
      </c>
      <c r="F7" s="9" t="inlineStr">
        <is>
          <t>Start with a one-page threat list: who might attack, through which interface, and what would go wrong for the user.</t>
        </is>
      </c>
      <c r="G7" s="8" t="inlineStr">
        <is>
          <t>In progress</t>
        </is>
      </c>
      <c r="H7" s="8" t="inlineStr">
        <is>
          <t>docs/risk/threat-list-v0.3 (internal)</t>
        </is>
      </c>
      <c r="I7" s="8" t="inlineStr">
        <is>
          <t>Mara Janssens (CTO)</t>
        </is>
      </c>
      <c r="J7" s="8" t="inlineStr">
        <is>
          <t>2026-11-30</t>
        </is>
      </c>
      <c r="K7" s="8" t="inlineStr">
        <is>
          <t>One-page threat list started. Needs a link to design decisions.</t>
        </is>
      </c>
    </row>
    <row r="8">
      <c r="A8" s="11" t="inlineStr">
        <is>
          <t>D2</t>
        </is>
      </c>
      <c r="B8" s="9" t="inlineStr">
        <is>
          <t>2. Risk assessment and documentation</t>
        </is>
      </c>
      <c r="C8" s="9" t="inlineStr">
        <is>
          <t>Keep technical documentation: what the product is, its design and architecture, how vulnerabilities are handled, the risk assessment, how the support period was chosen, standards used, test reports and the SBOM.</t>
        </is>
      </c>
      <c r="D8" s="9" t="inlineStr">
        <is>
          <t>Art. 31, Annex VII</t>
        </is>
      </c>
      <c r="E8" s="9" t="inlineStr">
        <is>
          <t>A technical file folder with an index page.</t>
        </is>
      </c>
      <c r="F8" s="9" t="inlineStr">
        <is>
          <t>Create the folder now and file this readiness pack in it.</t>
        </is>
      </c>
      <c r="G8" s="8" t="inlineStr">
        <is>
          <t>Not started</t>
        </is>
      </c>
      <c r="H8" s="8" t="inlineStr"/>
      <c r="I8" s="8" t="inlineStr">
        <is>
          <t>Mara Janssens (CTO)</t>
        </is>
      </c>
      <c r="J8" s="8" t="inlineStr">
        <is>
          <t>2027-03-31</t>
        </is>
      </c>
      <c r="K8" s="8" t="inlineStr">
        <is>
          <t>Create a technical file folder; file this pack in it.</t>
        </is>
      </c>
    </row>
    <row r="9">
      <c r="A9" s="11" t="inlineStr">
        <is>
          <t>D3</t>
        </is>
      </c>
      <c r="B9" s="9" t="inlineStr">
        <is>
          <t>2. Risk assessment and documentation</t>
        </is>
      </c>
      <c r="C9" s="9" t="inlineStr">
        <is>
          <t>Keep the technical documentation and the EU declaration of conformity for at least 10 years after the product is placed on the market, or for the support period if that is longer.</t>
        </is>
      </c>
      <c r="D9" s="9" t="inlineStr">
        <is>
          <t>Art. 13</t>
        </is>
      </c>
      <c r="E9" s="9" t="inlineStr">
        <is>
          <t>Archive location and retention rule written down.</t>
        </is>
      </c>
      <c r="F9" s="9" t="inlineStr">
        <is>
          <t>Use storage you control with backups, not a personal laptop.</t>
        </is>
      </c>
      <c r="G9" s="8" t="inlineStr">
        <is>
          <t>Not started</t>
        </is>
      </c>
      <c r="H9" s="8" t="inlineStr"/>
      <c r="I9" s="8" t="inlineStr">
        <is>
          <t>Pieter Claes (CEO)</t>
        </is>
      </c>
      <c r="J9" s="8" t="inlineStr">
        <is>
          <t>2027-03-31</t>
        </is>
      </c>
      <c r="K9" s="8" t="inlineStr"/>
    </row>
    <row r="10">
      <c r="A10" s="11" t="inlineStr">
        <is>
          <t>D4</t>
        </is>
      </c>
      <c r="B10" s="9" t="inlineStr">
        <is>
          <t>2. Risk assessment and documentation</t>
        </is>
      </c>
      <c r="C10" s="9" t="inlineStr">
        <is>
          <t>Choose and complete the conformity assessment route that fits the product's category. Default-category products can usually use self-assessment; other categories may need harmonised standards or a notified body.</t>
        </is>
      </c>
      <c r="D10" s="9" t="inlineStr">
        <is>
          <t>Art. 32</t>
        </is>
      </c>
      <c r="E10" s="9" t="inlineStr">
        <is>
          <t>Conformity assessment record.</t>
        </is>
      </c>
      <c r="F10" s="9" t="inlineStr">
        <is>
          <t>Ask the lawyer early, because notified bodies can have waiting lists.</t>
        </is>
      </c>
      <c r="G10" s="8" t="inlineStr">
        <is>
          <t>Needs lawyer</t>
        </is>
      </c>
      <c r="H10" s="8" t="inlineStr"/>
      <c r="I10" s="8" t="inlineStr">
        <is>
          <t>Lawyer</t>
        </is>
      </c>
      <c r="J10" s="8" t="inlineStr">
        <is>
          <t>2027-06-30</t>
        </is>
      </c>
      <c r="K10" s="8" t="inlineStr">
        <is>
          <t>Route depends on the category (S2).</t>
        </is>
      </c>
    </row>
    <row r="11">
      <c r="A11" s="11" t="inlineStr">
        <is>
          <t>D5</t>
        </is>
      </c>
      <c r="B11" s="9" t="inlineStr">
        <is>
          <t>2. Risk assessment and documentation</t>
        </is>
      </c>
      <c r="C11" s="9" t="inlineStr">
        <is>
          <t>After the conformity assessment, draw up and sign the EU declaration of conformity and put the CE marking on the product. The manufacturer signs it, never an outside consultant.</t>
        </is>
      </c>
      <c r="D11" s="9" t="inlineStr">
        <is>
          <t>Art. 28 to 30, Annex V</t>
        </is>
      </c>
      <c r="E11" s="9" t="inlineStr">
        <is>
          <t>Signed declaration of conformity; CE marking on product or packaging.</t>
        </is>
      </c>
      <c r="F11" s="9" t="inlineStr">
        <is>
          <t>Not before the other items are done. Plan it for well before 11 December 2027 (verify current dates).</t>
        </is>
      </c>
      <c r="G11" s="8" t="inlineStr">
        <is>
          <t>Not started</t>
        </is>
      </c>
      <c r="H11" s="8" t="inlineStr"/>
      <c r="I11" s="8" t="inlineStr">
        <is>
          <t>Pieter Claes (CEO)</t>
        </is>
      </c>
      <c r="J11" s="8" t="inlineStr">
        <is>
          <t>2027-09-30</t>
        </is>
      </c>
      <c r="K11" s="8" t="inlineStr">
        <is>
          <t>Only after the conformity assessment. Mossbyte signs, not the consultant.</t>
        </is>
      </c>
    </row>
    <row r="12">
      <c r="A12" s="11" t="inlineStr">
        <is>
          <t>D6</t>
        </is>
      </c>
      <c r="B12" s="9" t="inlineStr">
        <is>
          <t>2. Risk assessment and documentation</t>
        </is>
      </c>
      <c r="C12" s="9" t="inlineStr">
        <is>
          <t>Mark the product with its type and a batch or serial number, and give the manufacturer's name, postal address and electronic contact on the product, packaging or accompanying document.</t>
        </is>
      </c>
      <c r="D12" s="9" t="inlineStr">
        <is>
          <t>Art. 13</t>
        </is>
      </c>
      <c r="E12" s="9" t="inlineStr">
        <is>
          <t>Label artwork; packaging; manual.</t>
        </is>
      </c>
      <c r="F12" s="9" t="inlineStr">
        <is>
          <t>Check the current label and box against this list.</t>
        </is>
      </c>
      <c r="G12" s="8" t="inlineStr">
        <is>
          <t>Done</t>
        </is>
      </c>
      <c r="H12" s="8" t="inlineStr">
        <is>
          <t>Device label artwork v4; box artwork v2</t>
        </is>
      </c>
      <c r="I12" s="8" t="inlineStr">
        <is>
          <t>Lina Haddad (firmware lead)</t>
        </is>
      </c>
      <c r="J12" s="8" t="inlineStr"/>
      <c r="K12" s="8" t="inlineStr">
        <is>
          <t>Model and serial number on the label; address and email on the box.</t>
        </is>
      </c>
    </row>
    <row r="13">
      <c r="A13" s="11" t="inlineStr">
        <is>
          <t>P1</t>
        </is>
      </c>
      <c r="B13" s="9" t="inlineStr">
        <is>
          <t>3. Secure by design (Annex I, Part I)</t>
        </is>
      </c>
      <c r="C13" s="9" t="inlineStr">
        <is>
          <t>Design, build and produce the product so its level of security matches the risks found in the risk assessment.</t>
        </is>
      </c>
      <c r="D13" s="9" t="inlineStr">
        <is>
          <t>Annex I Part I (1)</t>
        </is>
      </c>
      <c r="E13" s="9" t="inlineStr">
        <is>
          <t>Risk assessment linked to design decisions and tests.</t>
        </is>
      </c>
      <c r="F13" s="9" t="inlineStr">
        <is>
          <t>Pick the three biggest risks and note what the product already does about each.</t>
        </is>
      </c>
      <c r="G13" s="8" t="inlineStr">
        <is>
          <t>In progress</t>
        </is>
      </c>
      <c r="H13" s="8" t="inlineStr">
        <is>
          <t>Threat list (D1)</t>
        </is>
      </c>
      <c r="I13" s="8" t="inlineStr">
        <is>
          <t>Mara Janssens (CTO)</t>
        </is>
      </c>
      <c r="J13" s="8" t="inlineStr">
        <is>
          <t>2026-12-31</t>
        </is>
      </c>
      <c r="K13" s="8" t="inlineStr"/>
    </row>
    <row r="14">
      <c r="A14" s="11" t="inlineStr">
        <is>
          <t>P2</t>
        </is>
      </c>
      <c r="B14" s="9" t="inlineStr">
        <is>
          <t>3. Secure by design (Annex I, Part I)</t>
        </is>
      </c>
      <c r="C14" s="9" t="inlineStr">
        <is>
          <t>Put each release on the market without known exploitable vulnerabilities: check its components against vulnerability databases first, then fix each finding or record why it cannot be exploited.</t>
        </is>
      </c>
      <c r="D14" s="9" t="inlineStr">
        <is>
          <t>Annex I Part I (2)(a)</t>
        </is>
      </c>
      <c r="E14" s="9" t="inlineStr">
        <is>
          <t>SBOM and vulnerability report for each release, with a decision for every open finding.</t>
        </is>
      </c>
      <c r="F14" s="9" t="inlineStr">
        <is>
          <t>Run make_sbom and vuln_report as a fixed step of every release.</t>
        </is>
      </c>
      <c r="G14" s="8" t="inlineStr">
        <is>
          <t>In progress</t>
        </is>
      </c>
      <c r="H14" s="8" t="inlineStr">
        <is>
          <t>vulnerability-report.xlsx (2026-10-07)</t>
        </is>
      </c>
      <c r="I14" s="8" t="inlineStr">
        <is>
          <t>Tom Willems (backend)</t>
        </is>
      </c>
      <c r="J14" s="8" t="inlineStr">
        <is>
          <t>2026-11-30</t>
        </is>
      </c>
      <c r="K14" s="8" t="inlineStr">
        <is>
          <t>6 updates planned for release 2.4. Firmware components still need a manual check.</t>
        </is>
      </c>
    </row>
    <row r="15">
      <c r="A15" s="11" t="inlineStr">
        <is>
          <t>P3</t>
        </is>
      </c>
      <c r="B15" s="9" t="inlineStr">
        <is>
          <t>3. Secure by design (Annex I, Part I)</t>
        </is>
      </c>
      <c r="C15" s="9" t="inlineStr">
        <is>
          <t>Ship with secure default settings (no shared default passwords, unneeded services switched off) and let users reset the product to its original state.</t>
        </is>
      </c>
      <c r="D15" s="9" t="inlineStr">
        <is>
          <t>Annex I Part I (2)(b)</t>
        </is>
      </c>
      <c r="E15" s="9" t="inlineStr">
        <is>
          <t>List of default settings; factory reset instructions.</t>
        </is>
      </c>
      <c r="F15" s="9" t="inlineStr">
        <is>
          <t>Unique password per device, or force the user to set one on first use.</t>
        </is>
      </c>
      <c r="G15" s="8" t="inlineStr">
        <is>
          <t>Done</t>
        </is>
      </c>
      <c r="H15" s="8" t="inlineStr">
        <is>
          <t>Set-up guide, page 2; factory reset test log</t>
        </is>
      </c>
      <c r="I15" s="8" t="inlineStr">
        <is>
          <t>Lina Haddad (firmware lead)</t>
        </is>
      </c>
      <c r="J15" s="8" t="inlineStr"/>
      <c r="K15" s="8" t="inlineStr">
        <is>
          <t>Unique set-up code per device on the label. Factory reset: hold the button for 10 seconds.</t>
        </is>
      </c>
    </row>
    <row r="16">
      <c r="A16" s="11" t="inlineStr">
        <is>
          <t>P4</t>
        </is>
      </c>
      <c r="B16" s="9" t="inlineStr">
        <is>
          <t>3. Secure by design (Annex I, Part I)</t>
        </is>
      </c>
      <c r="C16" s="9" t="inlineStr">
        <is>
          <t>Make sure vulnerabilities can be fixed through security updates. Where it suits the product, install security updates automatically by default with an easy opt-out, tell users about available updates, and let them postpone an update for a while.</t>
        </is>
      </c>
      <c r="D16" s="9" t="inlineStr">
        <is>
          <t>Annex I Part I (2)(c)</t>
        </is>
      </c>
      <c r="E16" s="9" t="inlineStr">
        <is>
          <t>Description of the update mechanism; screenshots of the settings.</t>
        </is>
      </c>
      <c r="F16" s="9" t="inlineStr">
        <is>
          <t>If updates are manual today, plan automatic security updates for the next major release.</t>
        </is>
      </c>
      <c r="G16" s="8" t="inlineStr">
        <is>
          <t>In progress</t>
        </is>
      </c>
      <c r="H16" s="8" t="inlineStr"/>
      <c r="I16" s="8" t="inlineStr">
        <is>
          <t>Lina Haddad (firmware lead)</t>
        </is>
      </c>
      <c r="J16" s="8" t="inlineStr">
        <is>
          <t>2027-03-31</t>
        </is>
      </c>
      <c r="K16" s="8" t="inlineStr">
        <is>
          <t>OTA updates exist and are signed. Automatic install with postpone option is in release 2.4.</t>
        </is>
      </c>
    </row>
    <row r="17">
      <c r="A17" s="11" t="inlineStr">
        <is>
          <t>P5</t>
        </is>
      </c>
      <c r="B17" s="9" t="inlineStr">
        <is>
          <t>3. Secure by design (Annex I, Part I)</t>
        </is>
      </c>
      <c r="C17" s="9" t="inlineStr">
        <is>
          <t>Protect against unauthorised access with suitable controls such as authentication and access management, and report possible unauthorised access.</t>
        </is>
      </c>
      <c r="D17" s="9" t="inlineStr">
        <is>
          <t>Annex I Part I (2)(d)</t>
        </is>
      </c>
      <c r="E17" s="9" t="inlineStr">
        <is>
          <t>Authentication design; logging or alerts for failed log-ins.</t>
        </is>
      </c>
      <c r="F17" s="9" t="inlineStr">
        <is>
          <t>Limit log-in attempts and log the failures.</t>
        </is>
      </c>
      <c r="G17" s="8" t="inlineStr">
        <is>
          <t>In progress</t>
        </is>
      </c>
      <c r="H17" s="8" t="inlineStr"/>
      <c r="I17" s="8" t="inlineStr">
        <is>
          <t>Tom Willems (backend)</t>
        </is>
      </c>
      <c r="J17" s="8" t="inlineStr">
        <is>
          <t>2026-12-31</t>
        </is>
      </c>
      <c r="K17" s="8" t="inlineStr">
        <is>
          <t>Cloud log-in is rate-limited. Failed log-ins are not yet logged.</t>
        </is>
      </c>
    </row>
    <row r="18">
      <c r="A18" s="11" t="inlineStr">
        <is>
          <t>P6</t>
        </is>
      </c>
      <c r="B18" s="9" t="inlineStr">
        <is>
          <t>3. Secure by design (Annex I, Part I)</t>
        </is>
      </c>
      <c r="C18" s="9" t="inlineStr">
        <is>
          <t>Keep data confidential, whether stored, sent or processed, personal or not, for example with current encryption at rest and in transit.</t>
        </is>
      </c>
      <c r="D18" s="9" t="inlineStr">
        <is>
          <t>Annex I Part I (2)(e)</t>
        </is>
      </c>
      <c r="E18" s="9" t="inlineStr">
        <is>
          <t>TLS settings; notes on how stored data and keys are protected.</t>
        </is>
      </c>
      <c r="F18" s="9" t="inlineStr">
        <is>
          <t>Use TLS 1.2 or newer for every connection, and keep no secrets in plain text in firmware.</t>
        </is>
      </c>
      <c r="G18" s="8" t="inlineStr">
        <is>
          <t>Done</t>
        </is>
      </c>
      <c r="H18" s="8" t="inlineStr">
        <is>
          <t>TLS settings note (internal)</t>
        </is>
      </c>
      <c r="I18" s="8" t="inlineStr">
        <is>
          <t>Tom Willems (backend)</t>
        </is>
      </c>
      <c r="J18" s="8" t="inlineStr"/>
      <c r="K18" s="8" t="inlineStr">
        <is>
          <t>TLS 1.2+ for all connections; Wi-Fi credentials stored in encrypted flash.</t>
        </is>
      </c>
    </row>
    <row r="19">
      <c r="A19" s="11" t="inlineStr">
        <is>
          <t>P7</t>
        </is>
      </c>
      <c r="B19" s="9" t="inlineStr">
        <is>
          <t>3. Secure by design (Annex I, Part I)</t>
        </is>
      </c>
      <c r="C19" s="9" t="inlineStr">
        <is>
          <t>Protect data, commands, programs and settings against unauthorised changes and report corruption, for example with signed firmware and secure boot.</t>
        </is>
      </c>
      <c r="D19" s="9" t="inlineStr">
        <is>
          <t>Annex I Part I (2)(f)</t>
        </is>
      </c>
      <c r="E19" s="9" t="inlineStr">
        <is>
          <t>Firmware signing and verification process.</t>
        </is>
      </c>
      <c r="F19" s="9" t="inlineStr">
        <is>
          <t>Sign firmware images and check the signature before installing them.</t>
        </is>
      </c>
      <c r="G19" s="8" t="inlineStr">
        <is>
          <t>In progress</t>
        </is>
      </c>
      <c r="H19" s="8" t="inlineStr"/>
      <c r="I19" s="8" t="inlineStr">
        <is>
          <t>Lina Haddad (firmware lead)</t>
        </is>
      </c>
      <c r="J19" s="8" t="inlineStr">
        <is>
          <t>2027-03-31</t>
        </is>
      </c>
      <c r="K19" s="8" t="inlineStr">
        <is>
          <t>Firmware images are signed. Secure boot is not enabled yet.</t>
        </is>
      </c>
    </row>
    <row r="20">
      <c r="A20" s="11" t="inlineStr">
        <is>
          <t>P8</t>
        </is>
      </c>
      <c r="B20" s="9" t="inlineStr">
        <is>
          <t>3. Secure by design (Annex I, Part I)</t>
        </is>
      </c>
      <c r="C20" s="9" t="inlineStr">
        <is>
          <t>Process only the data that is needed for the product's intended purpose (data minimisation).</t>
        </is>
      </c>
      <c r="D20" s="9" t="inlineStr">
        <is>
          <t>Annex I Part I (2)(g)</t>
        </is>
      </c>
      <c r="E20" s="9" t="inlineStr">
        <is>
          <t>Data inventory: what is collected, where it goes, and why.</t>
        </is>
      </c>
      <c r="F20" s="9" t="inlineStr">
        <is>
          <t>List every data field the device and app send, and drop what is not needed.</t>
        </is>
      </c>
      <c r="G20" s="8" t="inlineStr">
        <is>
          <t>Done</t>
        </is>
      </c>
      <c r="H20" s="8" t="inlineStr">
        <is>
          <t>Data inventory (internal)</t>
        </is>
      </c>
      <c r="I20" s="8" t="inlineStr">
        <is>
          <t>Mara Janssens (CTO)</t>
        </is>
      </c>
      <c r="J20" s="8" t="inlineStr"/>
      <c r="K20" s="8" t="inlineStr">
        <is>
          <t>Collects soil moisture, light level and device ID only.</t>
        </is>
      </c>
    </row>
    <row r="21">
      <c r="A21" s="11" t="inlineStr">
        <is>
          <t>P9</t>
        </is>
      </c>
      <c r="B21" s="9" t="inlineStr">
        <is>
          <t>3. Secure by design (Annex I, Part I)</t>
        </is>
      </c>
      <c r="C21" s="9" t="inlineStr">
        <is>
          <t>Keep essential functions available, also after an incident, for example by being resilient against denial-of-service attacks.</t>
        </is>
      </c>
      <c r="D21" s="9" t="inlineStr">
        <is>
          <t>Annex I Part I (2)(h)</t>
        </is>
      </c>
      <c r="E21" s="9" t="inlineStr">
        <is>
          <t>Test notes, including how the product behaves when the cloud is down.</t>
        </is>
      </c>
      <c r="F21" s="9" t="inlineStr">
        <is>
          <t>Make sure the core function keeps working when the internet or cloud is unavailable.</t>
        </is>
      </c>
      <c r="G21" s="8" t="inlineStr">
        <is>
          <t>Done</t>
        </is>
      </c>
      <c r="H21" s="8" t="inlineStr">
        <is>
          <t>Offline test notes</t>
        </is>
      </c>
      <c r="I21" s="8" t="inlineStr">
        <is>
          <t>Lina Haddad (firmware lead)</t>
        </is>
      </c>
      <c r="J21" s="8" t="inlineStr"/>
      <c r="K21" s="8" t="inlineStr">
        <is>
          <t>Sensor keeps 7 days of readings when the cloud is unreachable.</t>
        </is>
      </c>
    </row>
    <row r="22">
      <c r="A22" s="11" t="inlineStr">
        <is>
          <t>P10</t>
        </is>
      </c>
      <c r="B22" s="9" t="inlineStr">
        <is>
          <t>3. Secure by design (Annex I, Part I)</t>
        </is>
      </c>
      <c r="C22" s="9" t="inlineStr">
        <is>
          <t>Limit the harm the product can cause to other devices and networks, for example traffic floods or aggressive retries.</t>
        </is>
      </c>
      <c r="D22" s="9" t="inlineStr">
        <is>
          <t>Annex I Part I (2)(i)</t>
        </is>
      </c>
      <c r="E22" s="9" t="inlineStr">
        <is>
          <t>Network behaviour notes; retry and rate limits.</t>
        </is>
      </c>
      <c r="F22" s="9" t="inlineStr">
        <is>
          <t>Add back-off and limits to every reconnect and retry loop.</t>
        </is>
      </c>
      <c r="G22" s="8" t="inlineStr">
        <is>
          <t>Not started</t>
        </is>
      </c>
      <c r="H22" s="8" t="inlineStr"/>
      <c r="I22" s="8" t="inlineStr">
        <is>
          <t>Lina Haddad (firmware lead)</t>
        </is>
      </c>
      <c r="J22" s="8" t="inlineStr">
        <is>
          <t>2027-03-31</t>
        </is>
      </c>
      <c r="K22" s="8" t="inlineStr">
        <is>
          <t>Check reconnect back-off in the firmware.</t>
        </is>
      </c>
    </row>
    <row r="23">
      <c r="A23" s="11" t="inlineStr">
        <is>
          <t>P11</t>
        </is>
      </c>
      <c r="B23" s="9" t="inlineStr">
        <is>
          <t>3. Secure by design (Annex I, Part I)</t>
        </is>
      </c>
      <c r="C23" s="9" t="inlineStr">
        <is>
          <t>Keep the attack surface small, including external interfaces: close unused ports and services, and disable debug interfaces on production units.</t>
        </is>
      </c>
      <c r="D23" s="9" t="inlineStr">
        <is>
          <t>Annex I Part I (2)(j)</t>
        </is>
      </c>
      <c r="E23" s="9" t="inlineStr">
        <is>
          <t>List of open interfaces and ports per part, with reasons.</t>
        </is>
      </c>
      <c r="F23" s="9" t="inlineStr">
        <is>
          <t>Disable JTAG and serial debug access and remove test endpoints in production builds.</t>
        </is>
      </c>
      <c r="G23" s="8" t="inlineStr">
        <is>
          <t>In progress</t>
        </is>
      </c>
      <c r="H23" s="8" t="inlineStr"/>
      <c r="I23" s="8" t="inlineStr">
        <is>
          <t>Lina Haddad (firmware lead)</t>
        </is>
      </c>
      <c r="J23" s="8" t="inlineStr">
        <is>
          <t>2026-12-31</t>
        </is>
      </c>
      <c r="K23" s="8" t="inlineStr">
        <is>
          <t>Serial console is off in release builds; JTAG is still enabled. Fix in release 2.4.</t>
        </is>
      </c>
    </row>
    <row r="24">
      <c r="A24" s="11" t="inlineStr">
        <is>
          <t>P12</t>
        </is>
      </c>
      <c r="B24" s="9" t="inlineStr">
        <is>
          <t>3. Secure by design (Annex I, Part I)</t>
        </is>
      </c>
      <c r="C24" s="9" t="inlineStr">
        <is>
          <t>Reduce the impact of an incident with exploit mitigation techniques, for example memory protection, least privilege and separating components.</t>
        </is>
      </c>
      <c r="D24" s="9" t="inlineStr">
        <is>
          <t>Annex I Part I (2)(k)</t>
        </is>
      </c>
      <c r="E24" s="9" t="inlineStr">
        <is>
          <t>Build settings and design notes showing the mitigations used.</t>
        </is>
      </c>
      <c r="F24" s="9" t="inlineStr">
        <is>
          <t>Turn on the compiler and platform protections your SDK offers (stack protection, memory protection).</t>
        </is>
      </c>
      <c r="G24" s="8" t="inlineStr">
        <is>
          <t>Not started</t>
        </is>
      </c>
      <c r="H24" s="8" t="inlineStr"/>
      <c r="I24" s="8" t="inlineStr">
        <is>
          <t>Lina Haddad (firmware lead)</t>
        </is>
      </c>
      <c r="J24" s="8" t="inlineStr">
        <is>
          <t>2027-06-30</t>
        </is>
      </c>
      <c r="K24" s="8" t="inlineStr"/>
    </row>
    <row r="25">
      <c r="A25" s="11" t="inlineStr">
        <is>
          <t>P13</t>
        </is>
      </c>
      <c r="B25" s="9" t="inlineStr">
        <is>
          <t>3. Secure by design (Annex I, Part I)</t>
        </is>
      </c>
      <c r="C25" s="9" t="inlineStr">
        <is>
          <t>Record and monitor relevant security events, such as access to or changes of data, services or functions, and let users opt out.</t>
        </is>
      </c>
      <c r="D25" s="9" t="inlineStr">
        <is>
          <t>Annex I Part I (2)(l)</t>
        </is>
      </c>
      <c r="E25" s="9" t="inlineStr">
        <is>
          <t>Logging design; where logs go and how long they are kept.</t>
        </is>
      </c>
      <c r="F25" s="9" t="inlineStr">
        <is>
          <t>Log log-ins, setting changes and update installs in the cloud service.</t>
        </is>
      </c>
      <c r="G25" s="8" t="inlineStr">
        <is>
          <t>Not started</t>
        </is>
      </c>
      <c r="H25" s="8" t="inlineStr"/>
      <c r="I25" s="8" t="inlineStr">
        <is>
          <t>Tom Willems (backend)</t>
        </is>
      </c>
      <c r="J25" s="8" t="inlineStr">
        <is>
          <t>2027-03-31</t>
        </is>
      </c>
      <c r="K25" s="8" t="inlineStr"/>
    </row>
    <row r="26">
      <c r="A26" s="11" t="inlineStr">
        <is>
          <t>P14</t>
        </is>
      </c>
      <c r="B26" s="9" t="inlineStr">
        <is>
          <t>3. Secure by design (Annex I, Part I)</t>
        </is>
      </c>
      <c r="C26" s="9" t="inlineStr">
        <is>
          <t>Let users delete all their data and settings securely and permanently, and move data to another product or system securely where that is possible.</t>
        </is>
      </c>
      <c r="D26" s="9" t="inlineStr">
        <is>
          <t>Annex I Part I (2)(m)</t>
        </is>
      </c>
      <c r="E26" s="9" t="inlineStr">
        <is>
          <t>Factory reset and account deletion instructions; test result.</t>
        </is>
      </c>
      <c r="F26" s="9" t="inlineStr">
        <is>
          <t>Make the factory reset wipe keys, Wi-Fi credentials and user data, and test it.</t>
        </is>
      </c>
      <c r="G26" s="8" t="inlineStr">
        <is>
          <t>Done</t>
        </is>
      </c>
      <c r="H26" s="8" t="inlineStr">
        <is>
          <t>Factory reset test log</t>
        </is>
      </c>
      <c r="I26" s="8" t="inlineStr">
        <is>
          <t>Lina Haddad (firmware lead)</t>
        </is>
      </c>
      <c r="J26" s="8" t="inlineStr"/>
      <c r="K26" s="8" t="inlineStr">
        <is>
          <t>Factory reset wipes keys, Wi-Fi credentials and stored readings.</t>
        </is>
      </c>
    </row>
    <row r="27">
      <c r="A27" s="11" t="inlineStr">
        <is>
          <t>V1</t>
        </is>
      </c>
      <c r="B27" s="9" t="inlineStr">
        <is>
          <t>4. Vulnerability handling (Annex I, Part II)</t>
        </is>
      </c>
      <c r="C27" s="9" t="inlineStr">
        <is>
          <t>Identify and document the product's components and vulnerabilities, including an SBOM in a common machine-readable format that covers at least the top-level dependencies.</t>
        </is>
      </c>
      <c r="D27" s="9" t="inlineStr">
        <is>
          <t>Annex I Part II (1)</t>
        </is>
      </c>
      <c r="E27" s="9" t="inlineStr">
        <is>
          <t>CycloneDX SBOM per release, confirmed by the manufacturer.</t>
        </is>
      </c>
      <c r="F27" s="9" t="inlineStr">
        <is>
          <t>Use this kit's make_sbom script for every release.</t>
        </is>
      </c>
      <c r="G27" s="8" t="inlineStr">
        <is>
          <t>In progress</t>
        </is>
      </c>
      <c r="H27" s="8" t="inlineStr">
        <is>
          <t>sbom/sprout-s1-2.3.0.cdx.json</t>
        </is>
      </c>
      <c r="I27" s="8" t="inlineStr">
        <is>
          <t>Mara Janssens (CTO)</t>
        </is>
      </c>
      <c r="J27" s="8" t="inlineStr">
        <is>
          <t>2026-10-21</t>
        </is>
      </c>
      <c r="K27" s="8" t="inlineStr">
        <is>
          <t>Waiting for Mossbyte to confirm the SBOM matches the shipped release.</t>
        </is>
      </c>
    </row>
    <row r="28">
      <c r="A28" s="11" t="inlineStr">
        <is>
          <t>V2</t>
        </is>
      </c>
      <c r="B28" s="9" t="inlineStr">
        <is>
          <t>4. Vulnerability handling (Annex I, Part II)</t>
        </is>
      </c>
      <c r="C28" s="9" t="inlineStr">
        <is>
          <t>Fix vulnerabilities without delay, in line with the risk, by providing security updates. Where technically possible, ship security fixes separately from new features.</t>
        </is>
      </c>
      <c r="D28" s="9" t="inlineStr">
        <is>
          <t>Annex I Part II (2)</t>
        </is>
      </c>
      <c r="E28" s="9" t="inlineStr">
        <is>
          <t>Release notes showing security-only updates; fix-time records.</t>
        </is>
      </c>
      <c r="F28" s="9" t="inlineStr">
        <is>
          <t>Agree internal fix targets by severity (see the policy).</t>
        </is>
      </c>
      <c r="G28" s="8" t="inlineStr">
        <is>
          <t>In progress</t>
        </is>
      </c>
      <c r="H28" s="8" t="inlineStr"/>
      <c r="I28" s="8" t="inlineStr">
        <is>
          <t>Mara Janssens (CTO)</t>
        </is>
      </c>
      <c r="J28" s="8" t="inlineStr">
        <is>
          <t>2026-12-31</t>
        </is>
      </c>
      <c r="K28" s="8" t="inlineStr">
        <is>
          <t>Fix targets agreed in the policy draft.</t>
        </is>
      </c>
    </row>
    <row r="29">
      <c r="A29" s="11" t="inlineStr">
        <is>
          <t>V3</t>
        </is>
      </c>
      <c r="B29" s="9" t="inlineStr">
        <is>
          <t>4. Vulnerability handling (Annex I, Part II)</t>
        </is>
      </c>
      <c r="C29" s="9" t="inlineStr">
        <is>
          <t>Test and review the product's security effectively and regularly.</t>
        </is>
      </c>
      <c r="D29" s="9" t="inlineStr">
        <is>
          <t>Annex I Part II (3)</t>
        </is>
      </c>
      <c r="E29" s="9" t="inlineStr">
        <is>
          <t>Test plan; monthly dependency checks; review notes; penetration test report if any.</t>
        </is>
      </c>
      <c r="F29" s="9" t="inlineStr">
        <is>
          <t>Monthly dependency check plus a short security review before each release.</t>
        </is>
      </c>
      <c r="G29" s="8" t="inlineStr">
        <is>
          <t>In progress</t>
        </is>
      </c>
      <c r="H29" s="8" t="inlineStr">
        <is>
          <t>Monthly check (monthly care plan)</t>
        </is>
      </c>
      <c r="I29" s="8" t="inlineStr">
        <is>
          <t>Tom Willems (backend)</t>
        </is>
      </c>
      <c r="J29" s="8" t="inlineStr">
        <is>
          <t>2026-11-30</t>
        </is>
      </c>
      <c r="K29" s="8" t="inlineStr">
        <is>
          <t>Monthly dependency check starts in November.</t>
        </is>
      </c>
    </row>
    <row r="30">
      <c r="A30" s="11" t="inlineStr">
        <is>
          <t>V4</t>
        </is>
      </c>
      <c r="B30" s="9" t="inlineStr">
        <is>
          <t>4. Vulnerability handling (Annex I, Part II)</t>
        </is>
      </c>
      <c r="C30" s="9" t="inlineStr">
        <is>
          <t>Once a fix is available, publish information about the fixed vulnerability: what it was, which products and versions are affected, the impact, the severity and how users can fix it. In justified cases you may wait until users have had the chance to update.</t>
        </is>
      </c>
      <c r="D30" s="9" t="inlineStr">
        <is>
          <t>Annex I Part II (4)</t>
        </is>
      </c>
      <c r="E30" s="9" t="inlineStr">
        <is>
          <t>Security advisories page with past advisories.</t>
        </is>
      </c>
      <c r="F30" s="9" t="inlineStr">
        <is>
          <t>Create a simple 'Security advisories' page on the website.</t>
        </is>
      </c>
      <c r="G30" s="8" t="inlineStr">
        <is>
          <t>Not started</t>
        </is>
      </c>
      <c r="H30" s="8" t="inlineStr"/>
      <c r="I30" s="8" t="inlineStr">
        <is>
          <t>Sofie Peeters (customer care)</t>
        </is>
      </c>
      <c r="J30" s="8" t="inlineStr">
        <is>
          <t>2026-12-15</t>
        </is>
      </c>
      <c r="K30" s="8" t="inlineStr">
        <is>
          <t>Create a 'Security advisories' page.</t>
        </is>
      </c>
    </row>
    <row r="31">
      <c r="A31" s="11" t="inlineStr">
        <is>
          <t>V5</t>
        </is>
      </c>
      <c r="B31" s="9" t="inlineStr">
        <is>
          <t>4. Vulnerability handling (Annex I, Part II)</t>
        </is>
      </c>
      <c r="C31" s="9" t="inlineStr">
        <is>
          <t>Have a coordinated vulnerability disclosure policy and actually follow it.</t>
        </is>
      </c>
      <c r="D31" s="9" t="inlineStr">
        <is>
          <t>Annex I Part II (5)</t>
        </is>
      </c>
      <c r="E31" s="9" t="inlineStr">
        <is>
          <t>Published policy; log of reports handled under it.</t>
        </is>
      </c>
      <c r="F31" s="9" t="inlineStr">
        <is>
          <t>Publish the policy from this kit after the lawyer has read it.</t>
        </is>
      </c>
      <c r="G31" s="8" t="inlineStr">
        <is>
          <t>In progress</t>
        </is>
      </c>
      <c r="H31" s="8" t="inlineStr">
        <is>
          <t>vulnerability-handling-policy.docx (draft)</t>
        </is>
      </c>
      <c r="I31" s="8" t="inlineStr">
        <is>
          <t>Pieter Claes (CEO)</t>
        </is>
      </c>
      <c r="J31" s="8" t="inlineStr">
        <is>
          <t>2026-11-01</t>
        </is>
      </c>
      <c r="K31" s="8" t="inlineStr">
        <is>
          <t>Lawyer to review the safe-harbour wording before publishing.</t>
        </is>
      </c>
    </row>
    <row r="32">
      <c r="A32" s="11" t="inlineStr">
        <is>
          <t>V6</t>
        </is>
      </c>
      <c r="B32" s="9" t="inlineStr">
        <is>
          <t>4. Vulnerability handling (Annex I, Part II)</t>
        </is>
      </c>
      <c r="C32" s="9" t="inlineStr">
        <is>
          <t>Make it easy to report vulnerabilities in the product and in the third-party components it contains, including a contact address for reports.</t>
        </is>
      </c>
      <c r="D32" s="9" t="inlineStr">
        <is>
          <t>Annex I Part II (6)</t>
        </is>
      </c>
      <c r="E32" s="9" t="inlineStr">
        <is>
          <t>security.txt, security web page, monitored mailbox.</t>
        </is>
      </c>
      <c r="F32" s="9" t="inlineStr">
        <is>
          <t>Publish security.txt and check the mailbox every working day.</t>
        </is>
      </c>
      <c r="G32" s="8" t="inlineStr">
        <is>
          <t>In progress</t>
        </is>
      </c>
      <c r="H32" s="8" t="inlineStr">
        <is>
          <t>security.txt (ready to publish)</t>
        </is>
      </c>
      <c r="I32" s="8" t="inlineStr">
        <is>
          <t>Tom Willems (backend)</t>
        </is>
      </c>
      <c r="J32" s="8" t="inlineStr">
        <is>
          <t>2026-11-01</t>
        </is>
      </c>
      <c r="K32" s="8" t="inlineStr">
        <is>
          <t>Publish together with the policy.</t>
        </is>
      </c>
    </row>
    <row r="33">
      <c r="A33" s="11" t="inlineStr">
        <is>
          <t>V7</t>
        </is>
      </c>
      <c r="B33" s="9" t="inlineStr">
        <is>
          <t>4. Vulnerability handling (Annex I, Part II)</t>
        </is>
      </c>
      <c r="C33" s="9" t="inlineStr">
        <is>
          <t>Distribute updates securely (for example signed, over encrypted connections) so fixes reach users in time, and automatically where that applies to security updates.</t>
        </is>
      </c>
      <c r="D33" s="9" t="inlineStr">
        <is>
          <t>Annex I Part II (7)</t>
        </is>
      </c>
      <c r="E33" s="9" t="inlineStr">
        <is>
          <t>Update distribution design; signing key management.</t>
        </is>
      </c>
      <c r="F33" s="9" t="inlineStr">
        <is>
          <t>Keep the signing key off developer laptops, for example in a hardware token or a secrets manager.</t>
        </is>
      </c>
      <c r="G33" s="8" t="inlineStr">
        <is>
          <t>In progress</t>
        </is>
      </c>
      <c r="H33" s="8" t="inlineStr"/>
      <c r="I33" s="8" t="inlineStr">
        <is>
          <t>Lina Haddad (firmware lead)</t>
        </is>
      </c>
      <c r="J33" s="8" t="inlineStr">
        <is>
          <t>2027-03-31</t>
        </is>
      </c>
      <c r="K33" s="8" t="inlineStr">
        <is>
          <t>Signed OTA over TLS. Signing key is on a laptop: move it to a hardware token.</t>
        </is>
      </c>
    </row>
    <row r="34">
      <c r="A34" s="11" t="inlineStr">
        <is>
          <t>V8</t>
        </is>
      </c>
      <c r="B34" s="9" t="inlineStr">
        <is>
          <t>4. Vulnerability handling (Annex I, Part II)</t>
        </is>
      </c>
      <c r="C34" s="9" t="inlineStr">
        <is>
          <t>Release security updates without delay and free of charge (unless otherwise agreed with a business customer for a tailor-made product), with a message telling users what the update fixes and what to do.</t>
        </is>
      </c>
      <c r="D34" s="9" t="inlineStr">
        <is>
          <t>Annex I Part II (8)</t>
        </is>
      </c>
      <c r="E34" s="9" t="inlineStr">
        <is>
          <t>Update notes and user messages for past security updates.</t>
        </is>
      </c>
      <c r="F34" s="9" t="inlineStr">
        <is>
          <t>Write a short template for security update notes.</t>
        </is>
      </c>
      <c r="G34" s="8" t="inlineStr">
        <is>
          <t>Not started</t>
        </is>
      </c>
      <c r="H34" s="8" t="inlineStr"/>
      <c r="I34" s="8" t="inlineStr">
        <is>
          <t>Sofie Peeters (customer care)</t>
        </is>
      </c>
      <c r="J34" s="8" t="inlineStr">
        <is>
          <t>2026-12-15</t>
        </is>
      </c>
      <c r="K34" s="8" t="inlineStr">
        <is>
          <t>Write a template for security update notes.</t>
        </is>
      </c>
    </row>
    <row r="35">
      <c r="A35" s="11" t="inlineStr">
        <is>
          <t>V9</t>
        </is>
      </c>
      <c r="B35" s="9" t="inlineStr">
        <is>
          <t>4. Vulnerability handling (Annex I, Part II)</t>
        </is>
      </c>
      <c r="C35" s="9" t="inlineStr">
        <is>
          <t>When you find a vulnerability in a third-party or open-source component, report it to whoever maintains that component, and share your fix with them where appropriate.</t>
        </is>
      </c>
      <c r="D35" s="9" t="inlineStr">
        <is>
          <t>Art. 13</t>
        </is>
      </c>
      <c r="E35" s="9" t="inlineStr">
        <is>
          <t>Copies of reports sent to component maintainers.</t>
        </is>
      </c>
      <c r="F35" s="9" t="inlineStr">
        <is>
          <t>Add 'tell the upstream maintainer' as a step in the runbook.</t>
        </is>
      </c>
      <c r="G35" s="8" t="inlineStr">
        <is>
          <t>Not started</t>
        </is>
      </c>
      <c r="H35" s="8" t="inlineStr"/>
      <c r="I35" s="8" t="inlineStr">
        <is>
          <t>Lina Haddad (firmware lead)</t>
        </is>
      </c>
      <c r="J35" s="8" t="inlineStr">
        <is>
          <t>2026-12-31</t>
        </is>
      </c>
      <c r="K35" s="8" t="inlineStr">
        <is>
          <t>Add an 'upstream report' step to the release checklist.</t>
        </is>
      </c>
    </row>
    <row r="36">
      <c r="A36" s="11" t="inlineStr">
        <is>
          <t>V10</t>
        </is>
      </c>
      <c r="B36" s="9" t="inlineStr">
        <is>
          <t>4. Vulnerability handling (Annex I, Part II)</t>
        </is>
      </c>
      <c r="C36" s="9" t="inlineStr">
        <is>
          <t>Take care when choosing third-party components, including open source, so they do not weaken the product's security.</t>
        </is>
      </c>
      <c r="D36" s="9" t="inlineStr">
        <is>
          <t>Art. 13</t>
        </is>
      </c>
      <c r="E36" s="9" t="inlineStr">
        <is>
          <t>Short notes on why each major component was chosen (maintained, no known vulnerabilities, licence fits).</t>
        </is>
      </c>
      <c r="F36" s="9" t="inlineStr">
        <is>
          <t>Before adding a new library, check its last release date and known vulnerabilities.</t>
        </is>
      </c>
      <c r="G36" s="8" t="inlineStr">
        <is>
          <t>Not started</t>
        </is>
      </c>
      <c r="H36" s="8" t="inlineStr"/>
      <c r="I36" s="8" t="inlineStr">
        <is>
          <t>Mara Janssens (CTO)</t>
        </is>
      </c>
      <c r="J36" s="8" t="inlineStr">
        <is>
          <t>2027-03-31</t>
        </is>
      </c>
      <c r="K36" s="8" t="inlineStr"/>
    </row>
    <row r="37">
      <c r="A37" s="11" t="inlineStr">
        <is>
          <t>R1</t>
        </is>
      </c>
      <c r="B37" s="9" t="inlineStr">
        <is>
          <t>5. Reporting (applies since 11 September 2026)</t>
        </is>
      </c>
      <c r="C37" s="9" t="inlineStr">
        <is>
          <t>Know where and how to report: get access to ENISA's single reporting platform and find out which national CSIRT acts as your coordinator.</t>
        </is>
      </c>
      <c r="D37" s="9" t="inlineStr">
        <is>
          <t>Art. 14, Art. 16</t>
        </is>
      </c>
      <c r="E37" s="9" t="inlineStr">
        <is>
          <t>Completed 'Before you need it' section of the runbook; access tested.</t>
        </is>
      </c>
      <c r="F37" s="9" t="inlineStr">
        <is>
          <t>Request platform access for the incident lead and the deputy now, not during an incident.</t>
        </is>
      </c>
      <c r="G37" s="8" t="inlineStr">
        <is>
          <t>In progress</t>
        </is>
      </c>
      <c r="H37" s="8" t="inlineStr"/>
      <c r="I37" s="8" t="inlineStr">
        <is>
          <t>Mara Janssens (CTO)</t>
        </is>
      </c>
      <c r="J37" s="8" t="inlineStr">
        <is>
          <t>2026-10-31</t>
        </is>
      </c>
      <c r="K37" s="8" t="inlineStr">
        <is>
          <t>Platform access requested for Mara and Lina.</t>
        </is>
      </c>
    </row>
    <row r="38">
      <c r="A38" s="11" t="inlineStr">
        <is>
          <t>R2</t>
        </is>
      </c>
      <c r="B38" s="9" t="inlineStr">
        <is>
          <t>5. Reporting (applies since 11 September 2026)</t>
        </is>
      </c>
      <c r="C38" s="9" t="inlineStr">
        <is>
          <t>Be ready to report actively exploited vulnerabilities: early warning within 24 hours, notification within 72 hours, final report within 14 days after a fix or mitigation is available.</t>
        </is>
      </c>
      <c r="D38" s="9" t="inlineStr">
        <is>
          <t>Art. 14</t>
        </is>
      </c>
      <c r="E38" s="9" t="inlineStr">
        <is>
          <t>Reporting runbook; notes from a practice run.</t>
        </is>
      </c>
      <c r="F38" s="9" t="inlineStr">
        <is>
          <t>Run a one-hour tabletop exercise with the runbook.</t>
        </is>
      </c>
      <c r="G38" s="8" t="inlineStr">
        <is>
          <t>In progress</t>
        </is>
      </c>
      <c r="H38" s="8" t="inlineStr">
        <is>
          <t>reporting-runbook.docx (draft)</t>
        </is>
      </c>
      <c r="I38" s="8" t="inlineStr">
        <is>
          <t>Mara Janssens (CTO)</t>
        </is>
      </c>
      <c r="J38" s="8" t="inlineStr">
        <is>
          <t>2026-11-18</t>
        </is>
      </c>
      <c r="K38" s="8" t="inlineStr">
        <is>
          <t>Practice run planned for 18 November.</t>
        </is>
      </c>
    </row>
    <row r="39">
      <c r="A39" s="11" t="inlineStr">
        <is>
          <t>R3</t>
        </is>
      </c>
      <c r="B39" s="9" t="inlineStr">
        <is>
          <t>5. Reporting (applies since 11 September 2026)</t>
        </is>
      </c>
      <c r="C39" s="9" t="inlineStr">
        <is>
          <t>Be ready to report severe incidents that affect the product's security: early warning within 24 hours, notification within 72 hours, final report within one month after the notification.</t>
        </is>
      </c>
      <c r="D39" s="9" t="inlineStr">
        <is>
          <t>Art. 14</t>
        </is>
      </c>
      <c r="E39" s="9" t="inlineStr">
        <is>
          <t>Reporting runbook; notes from a practice run.</t>
        </is>
      </c>
      <c r="F39" s="9" t="inlineStr">
        <is>
          <t>Agree with your hosting provider how they will tell you about incidents.</t>
        </is>
      </c>
      <c r="G39" s="8" t="inlineStr">
        <is>
          <t>In progress</t>
        </is>
      </c>
      <c r="H39" s="8" t="inlineStr">
        <is>
          <t>reporting-runbook.docx (draft)</t>
        </is>
      </c>
      <c r="I39" s="8" t="inlineStr">
        <is>
          <t>Mara Janssens (CTO)</t>
        </is>
      </c>
      <c r="J39" s="8" t="inlineStr">
        <is>
          <t>2026-11-18</t>
        </is>
      </c>
      <c r="K39" s="8" t="inlineStr">
        <is>
          <t>Ask the hosting provider how they report incidents.</t>
        </is>
      </c>
    </row>
    <row r="40">
      <c r="A40" s="11" t="inlineStr">
        <is>
          <t>R4</t>
        </is>
      </c>
      <c r="B40" s="9" t="inlineStr">
        <is>
          <t>5. Reporting (applies since 11 September 2026)</t>
        </is>
      </c>
      <c r="C40" s="9" t="inlineStr">
        <is>
          <t>After an actively exploited vulnerability or severe incident, inform affected users (and all users where appropriate) about the problem and what they can do, using a structured, machine-readable format as well as plain language.</t>
        </is>
      </c>
      <c r="D40" s="9" t="inlineStr">
        <is>
          <t>Art. 14</t>
        </is>
      </c>
      <c r="E40" s="9" t="inlineStr">
        <is>
          <t>User notice template; advisory format (for example CSAF).</t>
        </is>
      </c>
      <c r="F40" s="9" t="inlineStr">
        <is>
          <t>Prepare a user notice template now (see the runbook).</t>
        </is>
      </c>
      <c r="G40" s="8" t="inlineStr">
        <is>
          <t>Not started</t>
        </is>
      </c>
      <c r="H40" s="8" t="inlineStr"/>
      <c r="I40" s="8" t="inlineStr">
        <is>
          <t>Sofie Peeters (customer care)</t>
        </is>
      </c>
      <c r="J40" s="8" t="inlineStr">
        <is>
          <t>2026-11-30</t>
        </is>
      </c>
      <c r="K40" s="8" t="inlineStr">
        <is>
          <t>User notice template is in the runbook; decide the CSAF tooling.</t>
        </is>
      </c>
    </row>
    <row r="41">
      <c r="A41" s="11" t="inlineStr">
        <is>
          <t>R5</t>
        </is>
      </c>
      <c r="B41" s="9" t="inlineStr">
        <is>
          <t>5. Reporting (applies since 11 September 2026)</t>
        </is>
      </c>
      <c r="C41" s="9" t="inlineStr">
        <is>
          <t>Name the people who handle reports (lead, deputy, technical, communications, management, lawyer), keep their contact details current, and practise at least once a year.</t>
        </is>
      </c>
      <c r="D41" s="9" t="inlineStr">
        <is>
          <t>Good practice</t>
        </is>
      </c>
      <c r="E41" s="9" t="inlineStr">
        <is>
          <t>Roles table in the runbook; date of last practice run.</t>
        </is>
      </c>
      <c r="F41" s="9" t="inlineStr">
        <is>
          <t>Put the roles table on one printed page.</t>
        </is>
      </c>
      <c r="G41" s="8" t="inlineStr">
        <is>
          <t>In progress</t>
        </is>
      </c>
      <c r="H41" s="8" t="inlineStr">
        <is>
          <t>Roles table in the runbook</t>
        </is>
      </c>
      <c r="I41" s="8" t="inlineStr">
        <is>
          <t>Mara Janssens (CTO)</t>
        </is>
      </c>
      <c r="J41" s="8" t="inlineStr">
        <is>
          <t>2026-11-18</t>
        </is>
      </c>
      <c r="K41" s="8" t="inlineStr"/>
    </row>
    <row r="42">
      <c r="A42" s="11" t="inlineStr">
        <is>
          <t>R6</t>
        </is>
      </c>
      <c r="B42" s="9" t="inlineStr">
        <is>
          <t>5. Reporting (applies since 11 September 2026)</t>
        </is>
      </c>
      <c r="C42" s="9" t="inlineStr">
        <is>
          <t>Offer a single point of contact so users can reach you quickly, including about vulnerabilities, and let them choose how to contact you rather than only through automated tools.</t>
        </is>
      </c>
      <c r="D42" s="9" t="inlineStr">
        <is>
          <t>Art. 13</t>
        </is>
      </c>
      <c r="E42" s="9" t="inlineStr">
        <is>
          <t>Contact page; support process.</t>
        </is>
      </c>
      <c r="F42" s="9" t="inlineStr">
        <is>
          <t>Make sure a person reads the security and support mailboxes.</t>
        </is>
      </c>
      <c r="G42" s="8" t="inlineStr">
        <is>
          <t>Done</t>
        </is>
      </c>
      <c r="H42" s="8" t="inlineStr">
        <is>
          <t>Contact page; support process</t>
        </is>
      </c>
      <c r="I42" s="8" t="inlineStr">
        <is>
          <t>Sofie Peeters (customer care)</t>
        </is>
      </c>
      <c r="J42" s="8" t="inlineStr"/>
      <c r="K42" s="8" t="inlineStr">
        <is>
          <t>security@ and support@ are read every working day; phone line on the website.</t>
        </is>
      </c>
    </row>
    <row r="43">
      <c r="A43" s="11" t="inlineStr">
        <is>
          <t>U1</t>
        </is>
      </c>
      <c r="B43" s="9" t="inlineStr">
        <is>
          <t>6. Support period and updates</t>
        </is>
      </c>
      <c r="C43" s="9" t="inlineStr">
        <is>
          <t>Decide the support period. It should match how long people are expected to use the product, and be at least five years unless the product is expected to be used for less.</t>
        </is>
      </c>
      <c r="D43" s="9" t="inlineStr">
        <is>
          <t>Art. 13</t>
        </is>
      </c>
      <c r="E43" s="9" t="inlineStr">
        <is>
          <t>Support period statement with the reasons for the decision.</t>
        </is>
      </c>
      <c r="F43" s="9" t="inlineStr">
        <is>
          <t>Use this kit's support period template.</t>
        </is>
      </c>
      <c r="G43" s="8" t="inlineStr">
        <is>
          <t>In progress</t>
        </is>
      </c>
      <c r="H43" s="8" t="inlineStr">
        <is>
          <t>support-period-statement.docx (draft)</t>
        </is>
      </c>
      <c r="I43" s="8" t="inlineStr">
        <is>
          <t>Pieter Claes (CEO)</t>
        </is>
      </c>
      <c r="J43" s="8" t="inlineStr">
        <is>
          <t>2026-10-31</t>
        </is>
      </c>
      <c r="K43" s="8" t="inlineStr">
        <is>
          <t>Proposed: end of March 2031 (six years from launch). CEO to approve.</t>
        </is>
      </c>
    </row>
    <row r="44">
      <c r="A44" s="11" t="inlineStr">
        <is>
          <t>U2</t>
        </is>
      </c>
      <c r="B44" s="9" t="inlineStr">
        <is>
          <t>6. Support period and updates</t>
        </is>
      </c>
      <c r="C44" s="9" t="inlineStr">
        <is>
          <t>Show the end of the support period, at least month and year, clearly at the time of purchase, for example on the product page and the packaging.</t>
        </is>
      </c>
      <c r="D44" s="9" t="inlineStr">
        <is>
          <t>Art. 13</t>
        </is>
      </c>
      <c r="E44" s="9" t="inlineStr">
        <is>
          <t>Screenshot of the product page; packaging artwork.</t>
        </is>
      </c>
      <c r="F44" s="9" t="inlineStr">
        <is>
          <t>Add 'Security updates until &lt;month year&gt;' to the product page.</t>
        </is>
      </c>
      <c r="G44" s="8" t="inlineStr">
        <is>
          <t>Not started</t>
        </is>
      </c>
      <c r="H44" s="8" t="inlineStr"/>
      <c r="I44" s="8" t="inlineStr">
        <is>
          <t>Sofie Peeters (customer care)</t>
        </is>
      </c>
      <c r="J44" s="8" t="inlineStr">
        <is>
          <t>2026-11-30</t>
        </is>
      </c>
      <c r="K44" s="8" t="inlineStr">
        <is>
          <t>Add the end date to the web shop page and the next box print run.</t>
        </is>
      </c>
    </row>
    <row r="45">
      <c r="A45" s="11" t="inlineStr">
        <is>
          <t>U3</t>
        </is>
      </c>
      <c r="B45" s="9" t="inlineStr">
        <is>
          <t>6. Support period and updates</t>
        </is>
      </c>
      <c r="C45" s="9" t="inlineStr">
        <is>
          <t>Keep each security update available for at least 10 years after its release, or for the rest of the support period if that is longer.</t>
        </is>
      </c>
      <c r="D45" s="9" t="inlineStr">
        <is>
          <t>Art. 13</t>
        </is>
      </c>
      <c r="E45" s="9" t="inlineStr">
        <is>
          <t>Update archive and retention rule.</t>
        </is>
      </c>
      <c r="F45" s="9" t="inlineStr">
        <is>
          <t>Keep all firmware and app releases in long-term storage with backups.</t>
        </is>
      </c>
      <c r="G45" s="8" t="inlineStr">
        <is>
          <t>Not started</t>
        </is>
      </c>
      <c r="H45" s="8" t="inlineStr"/>
      <c r="I45" s="8" t="inlineStr">
        <is>
          <t>Tom Willems (backend)</t>
        </is>
      </c>
      <c r="J45" s="8" t="inlineStr">
        <is>
          <t>2026-12-31</t>
        </is>
      </c>
      <c r="K45" s="8" t="inlineStr">
        <is>
          <t>Set up a long-term update archive.</t>
        </is>
      </c>
    </row>
    <row r="46">
      <c r="A46" s="11" t="inlineStr">
        <is>
          <t>U4</t>
        </is>
      </c>
      <c r="B46" s="9" t="inlineStr">
        <is>
          <t>6. Support period and updates</t>
        </is>
      </c>
      <c r="C46" s="9" t="inlineStr">
        <is>
          <t>Check that the components you depend on (SDK, operating system, language runtime, cloud services) stay supported for your whole support period, or plan to replace them.</t>
        </is>
      </c>
      <c r="D46" s="9" t="inlineStr">
        <is>
          <t>Good practice</t>
        </is>
      </c>
      <c r="E46" s="9" t="inlineStr">
        <is>
          <t>Component end-of-support list with dates.</t>
        </is>
      </c>
      <c r="F46" s="9" t="inlineStr">
        <is>
          <t>Note the end-of-support date of your SDK and runtime versions.</t>
        </is>
      </c>
      <c r="G46" s="8" t="inlineStr">
        <is>
          <t>In progress</t>
        </is>
      </c>
      <c r="H46" s="8" t="inlineStr">
        <is>
          <t>Component list in the support statement</t>
        </is>
      </c>
      <c r="I46" s="8" t="inlineStr">
        <is>
          <t>Mara Janssens (CTO)</t>
        </is>
      </c>
      <c r="J46" s="8" t="inlineStr">
        <is>
          <t>2026-12-31</t>
        </is>
      </c>
      <c r="K46" s="8" t="inlineStr">
        <is>
          <t>Check the ESP-IDF 5.1 end-of-support date.</t>
        </is>
      </c>
    </row>
    <row r="47">
      <c r="A47" s="11" t="inlineStr">
        <is>
          <t>I1</t>
        </is>
      </c>
      <c r="B47" s="9" t="inlineStr">
        <is>
          <t>7. Information for users (Annex II)</t>
        </is>
      </c>
      <c r="C47" s="9" t="inlineStr">
        <is>
          <t>Give the manufacturer's name, registered trade name or trademark, postal address, email or other digital contact, and website.</t>
        </is>
      </c>
      <c r="D47" s="9" t="inlineStr">
        <is>
          <t>Annex II (1)</t>
        </is>
      </c>
      <c r="E47" s="9" t="inlineStr">
        <is>
          <t>Manual, packaging and website.</t>
        </is>
      </c>
      <c r="F47" s="9" t="inlineStr">
        <is>
          <t>Check the manual and the 'About' page.</t>
        </is>
      </c>
      <c r="G47" s="8" t="inlineStr">
        <is>
          <t>Done</t>
        </is>
      </c>
      <c r="H47" s="8" t="inlineStr">
        <is>
          <t>Manual, page 12; website footer</t>
        </is>
      </c>
      <c r="I47" s="8" t="inlineStr">
        <is>
          <t>Sofie Peeters (customer care)</t>
        </is>
      </c>
      <c r="J47" s="8" t="inlineStr"/>
      <c r="K47" s="8" t="inlineStr"/>
    </row>
    <row r="48">
      <c r="A48" s="11" t="inlineStr">
        <is>
          <t>I2</t>
        </is>
      </c>
      <c r="B48" s="9" t="inlineStr">
        <is>
          <t>7. Information for users (Annex II)</t>
        </is>
      </c>
      <c r="C48" s="9" t="inlineStr">
        <is>
          <t>Say where vulnerabilities can be reported and where the coordinated vulnerability disclosure policy can be found.</t>
        </is>
      </c>
      <c r="D48" s="9" t="inlineStr">
        <is>
          <t>Annex II (2)</t>
        </is>
      </c>
      <c r="E48" s="9" t="inlineStr">
        <is>
          <t>Manual and website link to the policy and security.txt.</t>
        </is>
      </c>
      <c r="F48" s="9" t="inlineStr">
        <is>
          <t>Add one line to the manual: 'Report security problems to ...'.</t>
        </is>
      </c>
      <c r="G48" s="8" t="inlineStr">
        <is>
          <t>In progress</t>
        </is>
      </c>
      <c r="H48" s="8" t="inlineStr"/>
      <c r="I48" s="8" t="inlineStr">
        <is>
          <t>Sofie Peeters (customer care)</t>
        </is>
      </c>
      <c r="J48" s="8" t="inlineStr">
        <is>
          <t>2026-11-01</t>
        </is>
      </c>
      <c r="K48" s="8" t="inlineStr">
        <is>
          <t>Add the security contact and policy link to the manual.</t>
        </is>
      </c>
    </row>
    <row r="49">
      <c r="A49" s="11" t="inlineStr">
        <is>
          <t>I3</t>
        </is>
      </c>
      <c r="B49" s="9" t="inlineStr">
        <is>
          <t>7. Information for users (Annex II)</t>
        </is>
      </c>
      <c r="C49" s="9" t="inlineStr">
        <is>
          <t>Identify the product: name, type and any details that identify it uniquely, such as model and version.</t>
        </is>
      </c>
      <c r="D49" s="9" t="inlineStr">
        <is>
          <t>Annex II (3)</t>
        </is>
      </c>
      <c r="E49" s="9" t="inlineStr">
        <is>
          <t>Manual and label.</t>
        </is>
      </c>
      <c r="F49" s="9" t="inlineStr">
        <is>
          <t>Show the firmware version in the app.</t>
        </is>
      </c>
      <c r="G49" s="8" t="inlineStr">
        <is>
          <t>Done</t>
        </is>
      </c>
      <c r="H49" s="8" t="inlineStr">
        <is>
          <t>Label; Settings &gt; About in the app</t>
        </is>
      </c>
      <c r="I49" s="8" t="inlineStr">
        <is>
          <t>Lina Haddad (firmware lead)</t>
        </is>
      </c>
      <c r="J49" s="8" t="inlineStr"/>
      <c r="K49" s="8" t="inlineStr"/>
    </row>
    <row r="50">
      <c r="A50" s="11" t="inlineStr">
        <is>
          <t>I4</t>
        </is>
      </c>
      <c r="B50" s="9" t="inlineStr">
        <is>
          <t>7. Information for users (Annex II)</t>
        </is>
      </c>
      <c r="C50" s="9" t="inlineStr">
        <is>
          <t>Describe the intended purpose, the security environment, the essential functions and the security properties.</t>
        </is>
      </c>
      <c r="D50" s="9" t="inlineStr">
        <is>
          <t>Annex II (4)</t>
        </is>
      </c>
      <c r="E50" s="9" t="inlineStr">
        <is>
          <t>A 'Security information' section in the manual or online.</t>
        </is>
      </c>
      <c r="F50" s="9" t="inlineStr">
        <is>
          <t>Write half a page on what the product does and how it protects itself.</t>
        </is>
      </c>
      <c r="G50" s="8" t="inlineStr">
        <is>
          <t>Not started</t>
        </is>
      </c>
      <c r="H50" s="8" t="inlineStr"/>
      <c r="I50" s="8" t="inlineStr">
        <is>
          <t>Mara Janssens (CTO)</t>
        </is>
      </c>
      <c r="J50" s="8" t="inlineStr">
        <is>
          <t>2027-03-31</t>
        </is>
      </c>
      <c r="K50" s="8" t="inlineStr"/>
    </row>
    <row r="51">
      <c r="A51" s="11" t="inlineStr">
        <is>
          <t>I5</t>
        </is>
      </c>
      <c r="B51" s="9" t="inlineStr">
        <is>
          <t>7. Information for users (Annex II)</t>
        </is>
      </c>
      <c r="C51" s="9" t="inlineStr">
        <is>
          <t>Describe known or foreseeable situations, including reasonably foreseeable misuse, that could lead to significant cybersecurity risks.</t>
        </is>
      </c>
      <c r="D51" s="9" t="inlineStr">
        <is>
          <t>Annex II (5)</t>
        </is>
      </c>
      <c r="E51" s="9" t="inlineStr">
        <is>
          <t>A 'Safe use' section in the manual or online.</t>
        </is>
      </c>
      <c r="F51" s="9" t="inlineStr">
        <is>
          <t>For example: do not expose the device directly to the internet.</t>
        </is>
      </c>
      <c r="G51" s="8" t="inlineStr">
        <is>
          <t>Not started</t>
        </is>
      </c>
      <c r="H51" s="8" t="inlineStr"/>
      <c r="I51" s="8" t="inlineStr">
        <is>
          <t>Mara Janssens (CTO)</t>
        </is>
      </c>
      <c r="J51" s="8" t="inlineStr">
        <is>
          <t>2027-03-31</t>
        </is>
      </c>
      <c r="K51" s="8" t="inlineStr"/>
    </row>
    <row r="52">
      <c r="A52" s="11" t="inlineStr">
        <is>
          <t>I6</t>
        </is>
      </c>
      <c r="B52" s="9" t="inlineStr">
        <is>
          <t>7. Information for users (Annex II)</t>
        </is>
      </c>
      <c r="C52" s="9" t="inlineStr">
        <is>
          <t>Where applicable, give the web address where the EU declaration of conformity can be found.</t>
        </is>
      </c>
      <c r="D52" s="9" t="inlineStr">
        <is>
          <t>Annex II (6)</t>
        </is>
      </c>
      <c r="E52" s="9" t="inlineStr">
        <is>
          <t>Link in the manual.</t>
        </is>
      </c>
      <c r="F52" s="9" t="inlineStr">
        <is>
          <t>Reserve the web address now; publish the declaration once it is signed.</t>
        </is>
      </c>
      <c r="G52" s="8" t="inlineStr">
        <is>
          <t>Not started</t>
        </is>
      </c>
      <c r="H52" s="8" t="inlineStr"/>
      <c r="I52" s="8" t="inlineStr">
        <is>
          <t>Sofie Peeters (customer care)</t>
        </is>
      </c>
      <c r="J52" s="8" t="inlineStr">
        <is>
          <t>2027-09-30</t>
        </is>
      </c>
      <c r="K52" s="8" t="inlineStr">
        <is>
          <t>After the declaration of conformity is signed.</t>
        </is>
      </c>
    </row>
    <row r="53">
      <c r="A53" s="11" t="inlineStr">
        <is>
          <t>I7</t>
        </is>
      </c>
      <c r="B53" s="9" t="inlineStr">
        <is>
          <t>7. Information for users (Annex II)</t>
        </is>
      </c>
      <c r="C53" s="9" t="inlineStr">
        <is>
          <t>State the type of security support offered and the end date of the support period.</t>
        </is>
      </c>
      <c r="D53" s="9" t="inlineStr">
        <is>
          <t>Annex II (7)</t>
        </is>
      </c>
      <c r="E53" s="9" t="inlineStr">
        <is>
          <t>Support period statement linked from the manual.</t>
        </is>
      </c>
      <c r="F53" s="9" t="inlineStr">
        <is>
          <t>Reuse the public part of the support period statement.</t>
        </is>
      </c>
      <c r="G53" s="8" t="inlineStr">
        <is>
          <t>In progress</t>
        </is>
      </c>
      <c r="H53" s="8" t="inlineStr">
        <is>
          <t>support-period-statement.docx (draft)</t>
        </is>
      </c>
      <c r="I53" s="8" t="inlineStr">
        <is>
          <t>Sofie Peeters (customer care)</t>
        </is>
      </c>
      <c r="J53" s="8" t="inlineStr">
        <is>
          <t>2026-11-30</t>
        </is>
      </c>
      <c r="K53" s="8" t="inlineStr"/>
    </row>
    <row r="54">
      <c r="A54" s="11" t="inlineStr">
        <is>
          <t>I8</t>
        </is>
      </c>
      <c r="B54" s="9" t="inlineStr">
        <is>
          <t>7. Information for users (Annex II)</t>
        </is>
      </c>
      <c r="C54" s="9" t="inlineStr">
        <is>
          <t>Give instructions on: secure set-up and use, how changes can affect data security, how to install security updates, secure decommissioning including data removal, how to turn off automatic updates, and what integrators need to know (if the product goes into other products).</t>
        </is>
      </c>
      <c r="D54" s="9" t="inlineStr">
        <is>
          <t>Annex II (8)</t>
        </is>
      </c>
      <c r="E54" s="9" t="inlineStr">
        <is>
          <t>Manual or online help pages covering each topic.</t>
        </is>
      </c>
      <c r="F54" s="9" t="inlineStr">
        <is>
          <t>Turn the list into headings in the online help and fill them in one by one.</t>
        </is>
      </c>
      <c r="G54" s="8" t="inlineStr">
        <is>
          <t>In progress</t>
        </is>
      </c>
      <c r="H54" s="8" t="inlineStr">
        <is>
          <t>Online help pages</t>
        </is>
      </c>
      <c r="I54" s="8" t="inlineStr">
        <is>
          <t>Sofie Peeters (customer care)</t>
        </is>
      </c>
      <c r="J54" s="8" t="inlineStr">
        <is>
          <t>2027-03-31</t>
        </is>
      </c>
      <c r="K54" s="8" t="inlineStr">
        <is>
          <t>Set-up and update pages exist; decommissioning page missing.</t>
        </is>
      </c>
    </row>
    <row r="55">
      <c r="A55" s="11" t="inlineStr">
        <is>
          <t>I9</t>
        </is>
      </c>
      <c r="B55" s="9" t="inlineStr">
        <is>
          <t>7. Information for users (Annex II)</t>
        </is>
      </c>
      <c r="C55" s="9" t="inlineStr">
        <is>
          <t>If you choose to share the SBOM with users, say where it can be found.</t>
        </is>
      </c>
      <c r="D55" s="9" t="inlineStr">
        <is>
          <t>Annex II (9)</t>
        </is>
      </c>
      <c r="E55" s="9" t="inlineStr">
        <is>
          <t>Link in the manual, or a note that the SBOM is not shared.</t>
        </is>
      </c>
      <c r="F55" s="9" t="inlineStr">
        <is>
          <t>Decide whether to share the SBOM. You do not have to publish it.</t>
        </is>
      </c>
      <c r="G55" s="8" t="inlineStr">
        <is>
          <t>Not applicable</t>
        </is>
      </c>
      <c r="H55" s="8" t="inlineStr"/>
      <c r="I55" s="8" t="inlineStr">
        <is>
          <t>Pieter Claes (CEO)</t>
        </is>
      </c>
      <c r="J55" s="8" t="inlineStr"/>
      <c r="K55" s="8" t="inlineStr">
        <is>
          <t>Mossbyte does not plan to publish the SBOM; it stays in the technical file.</t>
        </is>
      </c>
    </row>
  </sheetData>
  <autoFilter ref="A1:K55"/>
  <conditionalFormatting sqref="G2:G500">
    <cfRule type="cellIs" priority="1" operator="equal" dxfId="0">
      <formula>"Done"</formula>
    </cfRule>
    <cfRule type="cellIs" priority="2" operator="equal" dxfId="1">
      <formula>"In progress"</formula>
    </cfRule>
    <cfRule type="cellIs" priority="3" operator="equal" dxfId="2">
      <formula>"Not started"</formula>
    </cfRule>
    <cfRule type="cellIs" priority="4" operator="equal" dxfId="3">
      <formula>"Needs lawyer"</formula>
    </cfRule>
    <cfRule type="cellIs" priority="5" operator="equal" dxfId="4">
      <formula>"Not applicable"</formula>
    </cfRule>
  </conditionalFormatting>
  <dataValidations count="1">
    <dataValidation sqref="G2:G500" showDropDown="0" showInputMessage="0" showErrorMessage="1" allowBlank="0" errorTitle="Status" error="Pick a status from the list." type="list">
      <formula1>"Not started,In progress,Done,Needs lawyer,Not applicable"</formula1>
    </dataValidation>
  </dataValidations>
  <printOptions gridLines="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2026-10-07T10:35:24Z</dcterms:created>
  <dcterms:modified xmlns:dcterms="http://purl.org/dc/terms/" xmlns:xsi="http://www.w3.org/2001/XMLSchema-instance" xsi:type="dcterms:W3CDTF">2026-10-07T10:35:24Z</dcterms:modified>
</cp:coreProperties>
</file>