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1" hidden="1">'Comparison'!$A$1:$X$11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%;-0%;0%"/>
    <numFmt numFmtId="165" formatCode="&quot;$&quot;#,##0.00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b val="1"/>
      <sz val="14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7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2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  <col width="12" customWidth="1" min="4" max="4"/>
  </cols>
  <sheetData>
    <row r="1">
      <c r="A1" s="1" t="inlineStr">
        <is>
          <t>Old vs new model comparison</t>
        </is>
      </c>
    </row>
    <row r="2">
      <c r="A2" t="inlineStr">
        <is>
          <t>Generated 2026-10-07 10:12 by compare_runs.py. Test set: test_set.jsonl (10 cases).</t>
        </is>
      </c>
    </row>
    <row r="3">
      <c r="A3" s="2" t="inlineStr">
        <is>
          <t>SIMULATED RUN (mock runner): answers, tokens and timings are not from a real model.</t>
        </is>
      </c>
    </row>
    <row r="5">
      <c r="A5" s="3" t="inlineStr">
        <is>
          <t>Run details</t>
        </is>
      </c>
      <c r="B5" s="3" t="inlineStr">
        <is>
          <t>Old</t>
        </is>
      </c>
      <c r="C5" s="3" t="inlineStr">
        <is>
          <t>New</t>
        </is>
      </c>
    </row>
    <row r="6">
      <c r="A6" s="4" t="inlineStr">
        <is>
          <t>Runner config file</t>
        </is>
      </c>
      <c r="B6" s="4" t="inlineStr">
        <is>
          <t>runner_old.json</t>
        </is>
      </c>
      <c r="C6" s="4" t="inlineStr">
        <is>
          <t>runner_new.json</t>
        </is>
      </c>
    </row>
    <row r="7">
      <c r="A7" s="4" t="inlineStr">
        <is>
          <t>Runner name</t>
        </is>
      </c>
      <c r="B7" s="4" t="inlineStr">
        <is>
          <t>old-model-v1 (current prompts)</t>
        </is>
      </c>
      <c r="C7" s="4" t="inlineStr">
        <is>
          <t>new-model-v2 (re-tuned prompts)</t>
        </is>
      </c>
    </row>
    <row r="8">
      <c r="A8" s="4" t="inlineStr">
        <is>
          <t>Runner type</t>
        </is>
      </c>
      <c r="B8" s="4" t="inlineStr">
        <is>
          <t>mock</t>
        </is>
      </c>
      <c r="C8" s="4" t="inlineStr">
        <is>
          <t>mock</t>
        </is>
      </c>
    </row>
    <row r="9">
      <c r="A9" s="4" t="inlineStr">
        <is>
          <t>Model</t>
        </is>
      </c>
      <c r="B9" s="4" t="inlineStr">
        <is>
          <t>old-model-v1</t>
        </is>
      </c>
      <c r="C9" s="4" t="inlineStr">
        <is>
          <t>new-model-v2</t>
        </is>
      </c>
    </row>
    <row r="10">
      <c r="A10" s="4" t="inlineStr">
        <is>
          <t>Settings</t>
        </is>
      </c>
      <c r="B10" s="4" t="inlineStr">
        <is>
          <t>Per feature (summarize, reply): see Settings sheet</t>
        </is>
      </c>
      <c r="C10" s="4" t="inlineStr">
        <is>
          <t>Per feature (summarize, reply): see Settings sheet</t>
        </is>
      </c>
    </row>
    <row r="11">
      <c r="A11" s="4" t="inlineStr">
        <is>
          <t>Prompt</t>
        </is>
      </c>
      <c r="B11" s="4" t="inlineStr">
        <is>
          <t>Per feature (see Settings sheet)</t>
        </is>
      </c>
      <c r="C11" s="4" t="inlineStr">
        <is>
          <t>Per feature (see Settings sheet)</t>
        </is>
      </c>
    </row>
    <row r="12">
      <c r="A12" s="4" t="inlineStr">
        <is>
          <t>Prices per 1M tokens (input / output)</t>
        </is>
      </c>
      <c r="B12" s="4" t="inlineStr">
        <is>
          <t>$1.00 / $3.00</t>
        </is>
      </c>
      <c r="C12" s="4" t="inlineStr">
        <is>
          <t>$0.80 / $2.40</t>
        </is>
      </c>
    </row>
    <row r="14">
      <c r="A14" s="3" t="inlineStr">
        <is>
          <t>Automatic results</t>
        </is>
      </c>
      <c r="B14" s="3" t="inlineStr">
        <is>
          <t>Old</t>
        </is>
      </c>
      <c r="C14" s="3" t="inlineStr">
        <is>
          <t>New</t>
        </is>
      </c>
      <c r="D14" s="3" t="inlineStr">
        <is>
          <t>Change</t>
        </is>
      </c>
    </row>
    <row r="15">
      <c r="A15" s="4" t="inlineStr">
        <is>
          <t>Successful calls</t>
        </is>
      </c>
      <c r="B15" s="4" t="inlineStr">
        <is>
          <t>10 / 10</t>
        </is>
      </c>
      <c r="C15" s="4" t="inlineStr">
        <is>
          <t>10 / 10</t>
        </is>
      </c>
    </row>
    <row r="16">
      <c r="A16" s="4" t="inlineStr">
        <is>
          <t>Average answer length (characters)</t>
        </is>
      </c>
      <c r="B16" s="5" t="n">
        <v>222.1</v>
      </c>
      <c r="C16" s="5" t="n">
        <v>188</v>
      </c>
      <c r="D16" s="6" t="n">
        <v>-0.1535344439441693</v>
      </c>
    </row>
    <row r="17">
      <c r="A17" s="4" t="inlineStr">
        <is>
          <t>Median response time (seconds)</t>
        </is>
      </c>
      <c r="B17" s="7" t="n">
        <v>1.91</v>
      </c>
      <c r="C17" s="7" t="n">
        <v>1.106</v>
      </c>
      <c r="D17" s="6" t="n">
        <v>-0.4209424083769634</v>
      </c>
    </row>
    <row r="18">
      <c r="A18" s="4" t="inlineStr">
        <is>
          <t>Average response time (seconds)</t>
        </is>
      </c>
      <c r="B18" s="7" t="n">
        <v>1.9463</v>
      </c>
      <c r="C18" s="7" t="n">
        <v>1.1725</v>
      </c>
      <c r="D18" s="6" t="n">
        <v>-0.3975748856805219</v>
      </c>
    </row>
    <row r="19">
      <c r="A19" s="4" t="inlineStr">
        <is>
          <t>Total input tokens</t>
        </is>
      </c>
      <c r="B19" s="8" t="n">
        <v>935</v>
      </c>
      <c r="C19" s="8" t="n">
        <v>1422</v>
      </c>
      <c r="D19" s="6" t="n">
        <v>0.5208556149732619</v>
      </c>
    </row>
    <row r="20">
      <c r="A20" s="4" t="inlineStr">
        <is>
          <t>Total output tokens</t>
        </is>
      </c>
      <c r="B20" s="8" t="n">
        <v>554</v>
      </c>
      <c r="C20" s="8" t="n">
        <v>521</v>
      </c>
      <c r="D20" s="6" t="n">
        <v>-0.05956678700361007</v>
      </c>
    </row>
    <row r="21">
      <c r="A21" s="4" t="inlineStr">
        <is>
          <t>Estimated cost of this run ($)</t>
        </is>
      </c>
      <c r="B21" s="9" t="n">
        <v>0.002597</v>
      </c>
      <c r="C21" s="9" t="n">
        <v>0.002388</v>
      </c>
      <c r="D21" s="6" t="n">
        <v>-0.08047747400847116</v>
      </c>
    </row>
    <row r="22">
      <c r="A22" s="4" t="inlineStr">
        <is>
          <t>Estimated cost per 1,000 calls ($)</t>
        </is>
      </c>
      <c r="B22" s="10" t="n">
        <v>0.2597</v>
      </c>
      <c r="C22" s="10" t="n">
        <v>0.2388</v>
      </c>
      <c r="D22" s="6" t="n">
        <v>-0.08047747400847116</v>
      </c>
    </row>
    <row r="23">
      <c r="A23" s="4" t="inlineStr">
        <is>
          <t>Automatic checks passed</t>
        </is>
      </c>
      <c r="B23" s="4" t="inlineStr">
        <is>
          <t>9 / 10</t>
        </is>
      </c>
      <c r="C23" s="4" t="inlineStr">
        <is>
          <t>10 / 10</t>
        </is>
      </c>
    </row>
    <row r="24">
      <c r="A24" s="4" t="inlineStr">
        <is>
          <t>Average similarity, old vs new (0-1)</t>
        </is>
      </c>
      <c r="B24" s="7" t="n">
        <v>0.58</v>
      </c>
      <c r="C24" s="4" t="n"/>
    </row>
    <row r="26">
      <c r="A26" s="3" t="inlineStr">
        <is>
          <t>By feature</t>
        </is>
      </c>
      <c r="B26" s="3" t="inlineStr">
        <is>
          <t>Cases</t>
        </is>
      </c>
      <c r="C26" s="3" t="inlineStr">
        <is>
          <t>Checks passed (old / new)</t>
        </is>
      </c>
      <c r="D26" s="3" t="inlineStr">
        <is>
          <t>Avg similarity</t>
        </is>
      </c>
    </row>
    <row r="27">
      <c r="A27" t="inlineStr">
        <is>
          <t>reply</t>
        </is>
      </c>
      <c r="B27" t="n">
        <v>4</v>
      </c>
      <c r="C27" t="inlineStr">
        <is>
          <t>4/4 old, 4/4 new</t>
        </is>
      </c>
      <c r="D27" s="11" t="n">
        <v>0.57</v>
      </c>
    </row>
    <row r="28">
      <c r="A28" t="inlineStr">
        <is>
          <t>summarize</t>
        </is>
      </c>
      <c r="B28" t="n">
        <v>6</v>
      </c>
      <c r="C28" t="inlineStr">
        <is>
          <t>5/6 old, 6/6 new</t>
        </is>
      </c>
      <c r="D28" s="11" t="n">
        <v>0.58</v>
      </c>
    </row>
    <row r="30">
      <c r="A30" s="3" t="inlineStr">
        <is>
          <t>Human grading (updates as you fill the Comparison sheet)</t>
        </is>
      </c>
      <c r="B30" s="3" t="inlineStr">
        <is>
          <t>Count</t>
        </is>
      </c>
    </row>
    <row r="31">
      <c r="A31" t="inlineStr">
        <is>
          <t>Cases graded</t>
        </is>
      </c>
      <c r="B31" s="12">
        <f>COUNTA(Comparison!$V$2:$V$11)</f>
        <v/>
      </c>
    </row>
    <row r="32">
      <c r="A32" t="inlineStr">
        <is>
          <t>New answer preferred</t>
        </is>
      </c>
      <c r="B32" s="12">
        <f>COUNTIF(Comparison!$V$2:$V$11,"new")</f>
        <v/>
      </c>
    </row>
    <row r="33">
      <c r="A33" t="inlineStr">
        <is>
          <t>About the same</t>
        </is>
      </c>
      <c r="B33" s="12">
        <f>COUNTIF(Comparison!$V$2:$V$11,"same")</f>
        <v/>
      </c>
    </row>
    <row r="34">
      <c r="A34" t="inlineStr">
        <is>
          <t>Old answer preferred</t>
        </is>
      </c>
      <c r="B34" s="12">
        <f>COUNTIF(Comparison!$V$2:$V$11,"old")</f>
        <v/>
      </c>
    </row>
    <row r="35">
      <c r="A35" t="inlineStr">
        <is>
          <t>New answer acceptable (yes)</t>
        </is>
      </c>
      <c r="B35" s="12">
        <f>COUNTIF(Comparison!$W$2:$W$11,"yes")</f>
        <v/>
      </c>
    </row>
    <row r="36">
      <c r="A36" t="inlineStr">
        <is>
          <t>New answer NOT acceptable (no)</t>
        </is>
      </c>
      <c r="B36" s="12">
        <f>COUNTIF(Comparison!$W$2:$W$11,"no")</f>
        <v/>
      </c>
    </row>
    <row r="37">
      <c r="A37" t="inlineStr">
        <is>
          <t>Acceptable rate</t>
        </is>
      </c>
      <c r="B37" s="13">
        <f>IF(COUNTA(Comparison!$W$2:$W$11)=0,"-",COUNTIF(Comparison!$W$2:$W$11,"yes")/COUNTA(Comparison!$W$2:$W$11))</f>
        <v/>
      </c>
    </row>
    <row r="39">
      <c r="A39" s="3" t="inlineStr">
        <is>
          <t>How to read this</t>
        </is>
      </c>
    </row>
    <row r="40" ht="32" customHeight="1">
      <c r="A40" s="4" t="inlineStr">
        <is>
          <t>Similarity is the share of words the two answers have in common, in the same order. 1 = identical, 0 = nothing in common. Different wording can be just as good, so read the answers and grade them.</t>
        </is>
      </c>
    </row>
    <row r="41" ht="32" customHeight="1">
      <c r="A41" s="4" t="inlineStr">
        <is>
          <t>Automatic checks come from must_include, must_not_include, expect_json and max_chars in the test set.</t>
        </is>
      </c>
    </row>
    <row r="42" ht="32" customHeight="1">
      <c r="A42" s="4" t="inlineStr">
        <is>
          <t>Costs use the prices in the runner configs. Check them on the provider's pricing page. Real token counts come from the API; mock and estimated counts are rough.</t>
        </is>
      </c>
    </row>
    <row r="43" ht="32" customHeight="1">
      <c r="A43" s="4" t="inlineStr">
        <is>
          <t>Grade every case in the yellow columns of the Comparison sheet: Preferred = old, new or same; New OK? = yes or no. The counts above update by themselves.</t>
        </is>
      </c>
    </row>
  </sheetData>
  <mergeCells count="4">
    <mergeCell ref="A40:D40"/>
    <mergeCell ref="A43:D43"/>
    <mergeCell ref="A41:D41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30" customWidth="1" min="4" max="4"/>
    <col width="55" customWidth="1" min="5" max="5"/>
    <col width="55" customWidth="1" min="6" max="6"/>
    <col width="9" customWidth="1" min="7" max="7"/>
    <col width="9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20" customWidth="1" min="19" max="19"/>
    <col width="20" customWidth="1" min="20" max="20"/>
    <col width="22" customWidth="1" min="21" max="21"/>
    <col width="15" customWidth="1" min="22" max="22"/>
    <col width="12" customWidth="1" min="23" max="23"/>
    <col width="35" customWidth="1" min="24" max="24"/>
  </cols>
  <sheetData>
    <row r="1" ht="45" customHeight="1">
      <c r="A1" s="14" t="inlineStr">
        <is>
          <t>Case ID</t>
        </is>
      </c>
      <c r="B1" s="14" t="inlineStr">
        <is>
          <t>Feature / tags</t>
        </is>
      </c>
      <c r="C1" s="14" t="inlineStr">
        <is>
          <t>Input</t>
        </is>
      </c>
      <c r="D1" s="14" t="inlineStr">
        <is>
          <t>Expected / notes</t>
        </is>
      </c>
      <c r="E1" s="14" t="inlineStr">
        <is>
          <t>Old output</t>
        </is>
      </c>
      <c r="F1" s="14" t="inlineStr">
        <is>
          <t>New output</t>
        </is>
      </c>
      <c r="G1" s="14" t="inlineStr">
        <is>
          <t>Old chars</t>
        </is>
      </c>
      <c r="H1" s="14" t="inlineStr">
        <is>
          <t>New chars</t>
        </is>
      </c>
      <c r="I1" s="14" t="inlineStr">
        <is>
          <t>Length change</t>
        </is>
      </c>
      <c r="J1" s="14" t="inlineStr">
        <is>
          <t>Similarity (0-1)</t>
        </is>
      </c>
      <c r="K1" s="14" t="inlineStr">
        <is>
          <t>Old latency (s)</t>
        </is>
      </c>
      <c r="L1" s="14" t="inlineStr">
        <is>
          <t>New latency (s)</t>
        </is>
      </c>
      <c r="M1" s="14" t="inlineStr">
        <is>
          <t>Old tokens in</t>
        </is>
      </c>
      <c r="N1" s="14" t="inlineStr">
        <is>
          <t>Old tokens out</t>
        </is>
      </c>
      <c r="O1" s="14" t="inlineStr">
        <is>
          <t>New tokens in</t>
        </is>
      </c>
      <c r="P1" s="14" t="inlineStr">
        <is>
          <t>New tokens out</t>
        </is>
      </c>
      <c r="Q1" s="14" t="inlineStr">
        <is>
          <t>Old cost ($)</t>
        </is>
      </c>
      <c r="R1" s="14" t="inlineStr">
        <is>
          <t>New cost ($)</t>
        </is>
      </c>
      <c r="S1" s="14" t="inlineStr">
        <is>
          <t>Old checks</t>
        </is>
      </c>
      <c r="T1" s="14" t="inlineStr">
        <is>
          <t>New checks</t>
        </is>
      </c>
      <c r="U1" s="14" t="inlineStr">
        <is>
          <t>Errors</t>
        </is>
      </c>
      <c r="V1" s="15" t="inlineStr">
        <is>
          <t>Preferred (old / new / same)</t>
        </is>
      </c>
      <c r="W1" s="15" t="inlineStr">
        <is>
          <t>New OK? (yes / no)</t>
        </is>
      </c>
      <c r="X1" s="15" t="inlineStr">
        <is>
          <t>Grader notes</t>
        </is>
      </c>
    </row>
    <row r="2" ht="90" customHeight="1">
      <c r="A2" s="4" t="inlineStr">
        <is>
          <t>S01</t>
        </is>
      </c>
      <c r="B2" s="4" t="inlineStr">
        <is>
          <t>summarize, delivery</t>
        </is>
      </c>
      <c r="C2" s="4" t="inlineStr">
        <is>
          <t>Hi, I ordered the oak bookshelf (order #10423) on 2 September and it still hasn't arrived. Tracking has said 'label created' for 9 days. I'm moving house on 20 September and need it before then. Can you tell me where it is or send a new one? Thanks, Priya</t>
        </is>
      </c>
      <c r="D2" s="4" t="inlineStr">
        <is>
          <t>Order #10423. Not shipped after 9 days. Needs it before 20 September. Wants an update or a replacement.</t>
        </is>
      </c>
      <c r="E2" s="4" t="inlineStr">
        <is>
          <t>Priya's oak bookshelf (order #10423) has not shipped; tracking has shown 'label created' for 9 days. She is moving on 20 September and needs it before then. She wants to know where it is or to have a new one sent.</t>
        </is>
      </c>
      <c r="F2" s="4" t="inlineStr">
        <is>
          <t>Order #10423 (oak bookshelf) has not shipped: tracking has said 'label created' for 9 days. Priya needs it before she moves on 20 September and wants a status update or a replacement.</t>
        </is>
      </c>
      <c r="G2" s="5" t="n">
        <v>213</v>
      </c>
      <c r="H2" s="5" t="n">
        <v>183</v>
      </c>
      <c r="I2" s="16" t="n">
        <v>-0.1408450704225352</v>
      </c>
      <c r="J2" s="7" t="n">
        <v>0.466</v>
      </c>
      <c r="K2" s="7" t="n">
        <v>1.901</v>
      </c>
      <c r="L2" s="7" t="n">
        <v>1.285</v>
      </c>
      <c r="M2" s="8" t="n">
        <v>102</v>
      </c>
      <c r="N2" s="8" t="n">
        <v>53</v>
      </c>
      <c r="O2" s="8" t="n">
        <v>161</v>
      </c>
      <c r="P2" s="8" t="n">
        <v>51</v>
      </c>
      <c r="Q2" s="9" t="n">
        <v>0.000261</v>
      </c>
      <c r="R2" s="9" t="n">
        <v>0.0002512</v>
      </c>
      <c r="S2" s="17" t="inlineStr">
        <is>
          <t>OK</t>
        </is>
      </c>
      <c r="T2" s="17" t="inlineStr">
        <is>
          <t>OK</t>
        </is>
      </c>
      <c r="U2" s="4" t="n"/>
      <c r="V2" s="18" t="inlineStr">
        <is>
          <t>new</t>
        </is>
      </c>
      <c r="W2" s="18" t="inlineStr">
        <is>
          <t>yes</t>
        </is>
      </c>
      <c r="X2" s="18" t="inlineStr">
        <is>
          <t>Both correct. New is tighter.</t>
        </is>
      </c>
    </row>
    <row r="3" ht="60" customHeight="1">
      <c r="A3" s="4" t="inlineStr">
        <is>
          <t>S02</t>
        </is>
      </c>
      <c r="B3" s="4" t="inlineStr">
        <is>
          <t>summarize, damaged item</t>
        </is>
      </c>
      <c r="C3" s="4" t="inlineStr">
        <is>
          <t>The ceramic table lamp from order #10511 arrived with a cracked base. Photos attached. I'd like a replacement, not a refund, because it matches the lamp I already have. - Tom</t>
        </is>
      </c>
      <c r="D3" s="4" t="inlineStr">
        <is>
          <t>Order #10511. Cracked lamp base, photos sent. Wants a replacement, not a refund.</t>
        </is>
      </c>
      <c r="E3" s="4" t="inlineStr">
        <is>
          <t>Tom's ceramic table lamp from order #10511 arrived with a cracked base, and he has sent photos. He wants a replacement rather than a refund because it matches his other lamp.</t>
        </is>
      </c>
      <c r="F3" s="4" t="inlineStr">
        <is>
          <t>The ceramic table lamp in order #10511 arrived with a cracked base (photos attached). Tom wants a replacement, not a refund, because it matches a lamp he already owns.</t>
        </is>
      </c>
      <c r="G3" s="5" t="n">
        <v>174</v>
      </c>
      <c r="H3" s="5" t="n">
        <v>167</v>
      </c>
      <c r="I3" s="16" t="n">
        <v>-0.04022988505747127</v>
      </c>
      <c r="J3" s="7" t="n">
        <v>0.5</v>
      </c>
      <c r="K3" s="7" t="n">
        <v>1.78</v>
      </c>
      <c r="L3" s="7" t="n">
        <v>0.991</v>
      </c>
      <c r="M3" s="8" t="n">
        <v>82</v>
      </c>
      <c r="N3" s="8" t="n">
        <v>44</v>
      </c>
      <c r="O3" s="8" t="n">
        <v>139</v>
      </c>
      <c r="P3" s="8" t="n">
        <v>46</v>
      </c>
      <c r="Q3" s="9" t="n">
        <v>0.000214</v>
      </c>
      <c r="R3" s="9" t="n">
        <v>0.0002216</v>
      </c>
      <c r="S3" s="17" t="inlineStr">
        <is>
          <t>OK</t>
        </is>
      </c>
      <c r="T3" s="17" t="inlineStr">
        <is>
          <t>OK</t>
        </is>
      </c>
      <c r="U3" s="4" t="n"/>
      <c r="V3" s="18" t="inlineStr">
        <is>
          <t>same</t>
        </is>
      </c>
      <c r="W3" s="18" t="inlineStr">
        <is>
          <t>yes</t>
        </is>
      </c>
      <c r="X3" s="18" t="n"/>
    </row>
    <row r="4" ht="60" customHeight="1">
      <c r="A4" s="4" t="inlineStr">
        <is>
          <t>S03</t>
        </is>
      </c>
      <c r="B4" s="4" t="inlineStr">
        <is>
          <t>summarize, billing</t>
        </is>
      </c>
      <c r="C4" s="4" t="inlineStr">
        <is>
          <t>I was charged twice for order #10602 - two charges of $84.50 on my card on 14 September. Please refund the duplicate charge. My bank statement is attached.</t>
        </is>
      </c>
      <c r="D4" s="4" t="inlineStr">
        <is>
          <t>Order #10602. Charged twice ($84.50) on 14 September. Wants the duplicate refunded.</t>
        </is>
      </c>
      <c r="E4" s="4" t="inlineStr">
        <is>
          <t>The customer was charged twice ($84.50 each) for order #10602 on 14 September. They have attached a bank statement and want the duplicate charge refunded.</t>
        </is>
      </c>
      <c r="F4" s="4" t="inlineStr">
        <is>
          <t>Order #10602 was charged twice on 14 September ($84.50 each time). The customer attached a bank statement and wants the duplicate charge refunded.</t>
        </is>
      </c>
      <c r="G4" s="5" t="n">
        <v>154</v>
      </c>
      <c r="H4" s="5" t="n">
        <v>146</v>
      </c>
      <c r="I4" s="16" t="n">
        <v>-0.05194805194805197</v>
      </c>
      <c r="J4" s="7" t="n">
        <v>0.583</v>
      </c>
      <c r="K4" s="7" t="n">
        <v>1.892</v>
      </c>
      <c r="L4" s="7" t="n">
        <v>1.223</v>
      </c>
      <c r="M4" s="8" t="n">
        <v>78</v>
      </c>
      <c r="N4" s="8" t="n">
        <v>38</v>
      </c>
      <c r="O4" s="8" t="n">
        <v>134</v>
      </c>
      <c r="P4" s="8" t="n">
        <v>41</v>
      </c>
      <c r="Q4" s="9" t="n">
        <v>0.000192</v>
      </c>
      <c r="R4" s="9" t="n">
        <v>0.0002056</v>
      </c>
      <c r="S4" s="17" t="inlineStr">
        <is>
          <t>OK</t>
        </is>
      </c>
      <c r="T4" s="17" t="inlineStr">
        <is>
          <t>OK</t>
        </is>
      </c>
      <c r="U4" s="4" t="n"/>
      <c r="V4" s="18" t="inlineStr">
        <is>
          <t>same</t>
        </is>
      </c>
      <c r="W4" s="18" t="inlineStr">
        <is>
          <t>yes</t>
        </is>
      </c>
      <c r="X4" s="18" t="n"/>
    </row>
    <row r="5" ht="60" customHeight="1">
      <c r="A5" s="4" t="inlineStr">
        <is>
          <t>S04</t>
        </is>
      </c>
      <c r="B5" s="4" t="inlineStr">
        <is>
          <t>summarize, address change</t>
        </is>
      </c>
      <c r="C5" s="4" t="inlineStr">
        <is>
          <t>Hello, can I change the delivery address for order #10655? We have moved to 14 Harbour Road, Unit 3, Millbrook. My account says the order hasn't shipped yet.</t>
        </is>
      </c>
      <c r="D5" s="4" t="inlineStr">
        <is>
          <t>Order #10655. New address 14 Harbour Road, Unit 3, Millbrook. Not shipped yet.</t>
        </is>
      </c>
      <c r="E5" s="4" t="inlineStr">
        <is>
          <t>The customer wants to change the delivery address for their order to 14 Harbour Road, Unit 3, Millbrook. Their account shows the order has not shipped yet.</t>
        </is>
      </c>
      <c r="F5" s="4" t="inlineStr">
        <is>
          <t>The customer wants the delivery address for order #10655 changed to 14 Harbour Road, Unit 3, Millbrook. Their account shows the order has not shipped yet.</t>
        </is>
      </c>
      <c r="G5" s="5" t="n">
        <v>155</v>
      </c>
      <c r="H5" s="5" t="n">
        <v>154</v>
      </c>
      <c r="I5" s="16" t="n">
        <v>-0.006451612903225823</v>
      </c>
      <c r="J5" s="7" t="n">
        <v>0.906</v>
      </c>
      <c r="K5" s="7" t="n">
        <v>1.646</v>
      </c>
      <c r="L5" s="7" t="n">
        <v>1.06</v>
      </c>
      <c r="M5" s="8" t="n">
        <v>78</v>
      </c>
      <c r="N5" s="8" t="n">
        <v>39</v>
      </c>
      <c r="O5" s="8" t="n">
        <v>134</v>
      </c>
      <c r="P5" s="8" t="n">
        <v>43</v>
      </c>
      <c r="Q5" s="9" t="n">
        <v>0.000195</v>
      </c>
      <c r="R5" s="9" t="n">
        <v>0.0002104</v>
      </c>
      <c r="S5" s="19" t="inlineStr">
        <is>
          <t>missing "#10655"</t>
        </is>
      </c>
      <c r="T5" s="17" t="inlineStr">
        <is>
          <t>OK</t>
        </is>
      </c>
      <c r="U5" s="4" t="n"/>
      <c r="V5" s="18" t="inlineStr">
        <is>
          <t>new</t>
        </is>
      </c>
      <c r="W5" s="18" t="inlineStr">
        <is>
          <t>yes</t>
        </is>
      </c>
      <c r="X5" s="18" t="inlineStr">
        <is>
          <t>Old left out the order number.</t>
        </is>
      </c>
    </row>
    <row r="6" ht="60" customHeight="1">
      <c r="A6" s="4" t="inlineStr">
        <is>
          <t>S05</t>
        </is>
      </c>
      <c r="B6" s="4" t="inlineStr">
        <is>
          <t>summarize, refund</t>
        </is>
      </c>
      <c r="C6" s="4" t="inlineStr">
        <is>
          <t>I returned the linen curtains (order #10388) three weeks ago. The courier shows you received them on 12 September, but I still haven't had my refund. Return label RT-55821. Please check.</t>
        </is>
      </c>
      <c r="D6" s="4" t="inlineStr">
        <is>
          <t>Order #10388, return label RT-55821. Return arrived 12 September. Refund missing.</t>
        </is>
      </c>
      <c r="E6" s="4" t="inlineStr">
        <is>
          <t>The customer returned the linen curtains from order #10388 three weeks ago (return label RT-55821), and the courier shows we received them on 12 September. The refund has not arrived and they want it checked.</t>
        </is>
      </c>
      <c r="F6" s="4" t="inlineStr">
        <is>
          <t>The customer returned the linen curtains from order #10388 (return label RT-55821) but has not received a refund. They want us to check on it.</t>
        </is>
      </c>
      <c r="G6" s="5" t="n">
        <v>208</v>
      </c>
      <c r="H6" s="5" t="n">
        <v>142</v>
      </c>
      <c r="I6" s="16" t="n">
        <v>-0.3173076923076923</v>
      </c>
      <c r="J6" s="7" t="n">
        <v>0.5</v>
      </c>
      <c r="K6" s="7" t="n">
        <v>1.785</v>
      </c>
      <c r="L6" s="7" t="n">
        <v>0.993</v>
      </c>
      <c r="M6" s="8" t="n">
        <v>85</v>
      </c>
      <c r="N6" s="8" t="n">
        <v>52</v>
      </c>
      <c r="O6" s="8" t="n">
        <v>142</v>
      </c>
      <c r="P6" s="8" t="n">
        <v>39</v>
      </c>
      <c r="Q6" s="9" t="n">
        <v>0.000241</v>
      </c>
      <c r="R6" s="9" t="n">
        <v>0.0002072</v>
      </c>
      <c r="S6" s="17" t="inlineStr">
        <is>
          <t>OK</t>
        </is>
      </c>
      <c r="T6" s="17" t="inlineStr">
        <is>
          <t>OK</t>
        </is>
      </c>
      <c r="U6" s="4" t="n"/>
      <c r="V6" s="18" t="inlineStr">
        <is>
          <t>old</t>
        </is>
      </c>
      <c r="W6" s="18" t="inlineStr">
        <is>
          <t>yes</t>
        </is>
      </c>
      <c r="X6" s="18" t="inlineStr">
        <is>
          <t>New left out the date the return arrived (12 September). Still usable.</t>
        </is>
      </c>
    </row>
    <row r="7" ht="75" customHeight="1">
      <c r="A7" s="4" t="inlineStr">
        <is>
          <t>S06</t>
        </is>
      </c>
      <c r="B7" s="4" t="inlineStr">
        <is>
          <t>summarize, website, no order number</t>
        </is>
      </c>
      <c r="C7" s="4" t="inlineStr">
        <is>
          <t>Your website keeps logging me out when I try to check out. I've tried two different browsers. I don't have an order number because I can't finish the order. I'd like the 15% welcome discount to still apply once this is fixed.</t>
        </is>
      </c>
      <c r="D7" s="4" t="inlineStr">
        <is>
          <t>No order number (cannot check out). Logged out at checkout in two browsers. Wants the 15% discount kept. Must not invent an order number.</t>
        </is>
      </c>
      <c r="E7" s="4" t="inlineStr">
        <is>
          <t>The customer cannot finish checking out because the website keeps logging them out, even in two different browsers, so there is no order number yet. They want the 15% welcome discount to still apply once the problem is fixed.</t>
        </is>
      </c>
      <c r="F7" s="4" t="inlineStr">
        <is>
          <t>The customer is logged out every time they try to check out (tried two browsers), so there is no order number yet. They want their 15% welcome discount to still apply after the fix.</t>
        </is>
      </c>
      <c r="G7" s="5" t="n">
        <v>225</v>
      </c>
      <c r="H7" s="5" t="n">
        <v>181</v>
      </c>
      <c r="I7" s="16" t="n">
        <v>-0.1955555555555556</v>
      </c>
      <c r="J7" s="7" t="n">
        <v>0.548</v>
      </c>
      <c r="K7" s="7" t="n">
        <v>1.919</v>
      </c>
      <c r="L7" s="7" t="n">
        <v>1.116</v>
      </c>
      <c r="M7" s="8" t="n">
        <v>95</v>
      </c>
      <c r="N7" s="8" t="n">
        <v>56</v>
      </c>
      <c r="O7" s="8" t="n">
        <v>153</v>
      </c>
      <c r="P7" s="8" t="n">
        <v>50</v>
      </c>
      <c r="Q7" s="9" t="n">
        <v>0.000263</v>
      </c>
      <c r="R7" s="9" t="n">
        <v>0.0002424</v>
      </c>
      <c r="S7" s="17" t="inlineStr">
        <is>
          <t>OK</t>
        </is>
      </c>
      <c r="T7" s="17" t="inlineStr">
        <is>
          <t>OK</t>
        </is>
      </c>
      <c r="U7" s="4" t="n"/>
      <c r="V7" s="18" t="inlineStr">
        <is>
          <t>same</t>
        </is>
      </c>
      <c r="W7" s="18" t="inlineStr">
        <is>
          <t>yes</t>
        </is>
      </c>
      <c r="X7" s="18" t="inlineStr">
        <is>
          <t>Neither invented an order number.</t>
        </is>
      </c>
    </row>
    <row r="8" ht="150" customHeight="1">
      <c r="A8" s="4" t="inlineStr">
        <is>
          <t>R01</t>
        </is>
      </c>
      <c r="B8" s="4" t="inlineStr">
        <is>
          <t>reply, delivery</t>
        </is>
      </c>
      <c r="C8" s="4" t="inlineStr">
        <is>
          <t>Ticket:
My oak bookshelf (order #10423) hasn't arrived. Tracking has said 'label created' for 9 days and I move house on 20 September.
Help articles:
Delivery times: Standard delivery takes 5-7 working days. If tracking shows no movement for 5 working days, we send a replacement free of charge.</t>
        </is>
      </c>
      <c r="D8" s="4" t="inlineStr">
        <is>
          <t>Apologise, offer the free replacement, no promise about the arrival date.</t>
        </is>
      </c>
      <c r="E8" s="4" t="inlineStr">
        <is>
          <t>Hi Priya,
Thank you for getting in touch, and I'm sorry your oak bookshelf (order #10423) hasn't arrived yet. Because the tracking hasn't moved for more than 5 working days, we will send a replacement free of charge. I'll arrange it today so it reaches you before your move on 20 September.
Best wishes,
Acme Home Goods Support</t>
        </is>
      </c>
      <c r="F8" s="4" t="inlineStr">
        <is>
          <t>Hi Priya,
I'm sorry your oak bookshelf (order #10423) hasn't arrived. As the tracking hasn't moved for over 5 working days, we'll send a replacement free of charge and email you the new tracking number today.
The Acme Home Goods team</t>
        </is>
      </c>
      <c r="G8" s="5" t="n">
        <v>329</v>
      </c>
      <c r="H8" s="5" t="n">
        <v>235</v>
      </c>
      <c r="I8" s="16" t="n">
        <v>-0.2857142857142857</v>
      </c>
      <c r="J8" s="7" t="n">
        <v>0.545</v>
      </c>
      <c r="K8" s="7" t="n">
        <v>2.21</v>
      </c>
      <c r="L8" s="7" t="n">
        <v>1.463</v>
      </c>
      <c r="M8" s="8" t="n">
        <v>115</v>
      </c>
      <c r="N8" s="8" t="n">
        <v>82</v>
      </c>
      <c r="O8" s="8" t="n">
        <v>152</v>
      </c>
      <c r="P8" s="8" t="n">
        <v>65</v>
      </c>
      <c r="Q8" s="9" t="n">
        <v>0.000361</v>
      </c>
      <c r="R8" s="9" t="n">
        <v>0.0002776</v>
      </c>
      <c r="S8" s="17" t="inlineStr">
        <is>
          <t>OK</t>
        </is>
      </c>
      <c r="T8" s="17" t="inlineStr">
        <is>
          <t>OK</t>
        </is>
      </c>
      <c r="U8" s="4" t="n"/>
      <c r="V8" s="18" t="inlineStr">
        <is>
          <t>new</t>
        </is>
      </c>
      <c r="W8" s="18" t="inlineStr">
        <is>
          <t>yes</t>
        </is>
      </c>
      <c r="X8" s="18" t="inlineStr">
        <is>
          <t>Old promised delivery before 20 September, which the delivery policy does not say.</t>
        </is>
      </c>
    </row>
    <row r="9" ht="135" customHeight="1">
      <c r="A9" s="4" t="inlineStr">
        <is>
          <t>R02</t>
        </is>
      </c>
      <c r="B9" s="4" t="inlineStr">
        <is>
          <t>reply, damaged item</t>
        </is>
      </c>
      <c r="C9" s="4" t="inlineStr">
        <is>
          <t>Ticket:
The ceramic lamp from order #10511 arrived with a cracked base. I'd like a replacement.
Help articles:
Damaged items: Send us a photo within 30 days of delivery. We send a free replacement or a full refund, whichever the customer prefers.</t>
        </is>
      </c>
      <c r="D9" s="4" t="inlineStr">
        <is>
          <t>Apologise and confirm a free replacement.</t>
        </is>
      </c>
      <c r="E9" s="4" t="inlineStr">
        <is>
          <t>Hi Tom,
I'm sorry your ceramic lamp (order #10511) arrived with a cracked base, and thank you for the photos. We'll send you a free replacement, and I'll email the tracking details as soon as it ships.
Kind regards,
Acme Home Goods Support</t>
        </is>
      </c>
      <c r="F9" s="4" t="inlineStr">
        <is>
          <t>Hi Tom,
I'm sorry the lamp from order #10511 arrived cracked, and thanks for the photos. We'll send you a free replacement and email you the tracking details when it ships.
The Acme Home Goods team</t>
        </is>
      </c>
      <c r="G9" s="5" t="n">
        <v>241</v>
      </c>
      <c r="H9" s="5" t="n">
        <v>199</v>
      </c>
      <c r="I9" s="16" t="n">
        <v>-0.1742738589211619</v>
      </c>
      <c r="J9" s="7" t="n">
        <v>0.633</v>
      </c>
      <c r="K9" s="7" t="n">
        <v>1.974</v>
      </c>
      <c r="L9" s="7" t="n">
        <v>1.096</v>
      </c>
      <c r="M9" s="8" t="n">
        <v>102</v>
      </c>
      <c r="N9" s="8" t="n">
        <v>60</v>
      </c>
      <c r="O9" s="8" t="n">
        <v>138</v>
      </c>
      <c r="P9" s="8" t="n">
        <v>55</v>
      </c>
      <c r="Q9" s="9" t="n">
        <v>0.000282</v>
      </c>
      <c r="R9" s="9" t="n">
        <v>0.0002424</v>
      </c>
      <c r="S9" s="17" t="inlineStr">
        <is>
          <t>OK</t>
        </is>
      </c>
      <c r="T9" s="17" t="inlineStr">
        <is>
          <t>OK</t>
        </is>
      </c>
      <c r="U9" s="4" t="n"/>
      <c r="V9" s="18" t="inlineStr">
        <is>
          <t>same</t>
        </is>
      </c>
      <c r="W9" s="18" t="inlineStr">
        <is>
          <t>yes</t>
        </is>
      </c>
      <c r="X9" s="18" t="n"/>
    </row>
    <row r="10" ht="150" customHeight="1">
      <c r="A10" s="4" t="inlineStr">
        <is>
          <t>R03</t>
        </is>
      </c>
      <c r="B10" s="4" t="inlineStr">
        <is>
          <t>reply, refund</t>
        </is>
      </c>
      <c r="C10" s="4" t="inlineStr">
        <is>
          <t>Ticket:
I returned the linen curtains (order #10388) and the courier says you received them on 12 September. Where is my refund?
Help articles:
Refunds: We refund within 5 working days of receiving a return. Your bank may take another 3-5 working days to show it.</t>
        </is>
      </c>
      <c r="D10" s="4" t="inlineStr">
        <is>
          <t>Explain the 5 working day refund time and that the bank can take longer; say we are checking.</t>
        </is>
      </c>
      <c r="E10" s="4" t="inlineStr">
        <is>
          <t>Hi there,
Thanks for your patience. We received your linen curtains on 12 September, and refunds are issued within 5 working days of receiving a return. Your bank may then take another 3-5 working days to show the money. I've asked our returns team to check the refund for order #10388.
Best wishes,
Acme Home Goods Support</t>
        </is>
      </c>
      <c r="F10" s="4" t="inlineStr">
        <is>
          <t>Hi,
Thanks for your patience. Refunds are issued within 5 working days of a return arriving, and your bank may take another 3-5 working days to show it. Your curtains arrived on 12 September, so I've asked our returns team to check the refund for order #10388 today.
The Acme Home Goods team</t>
        </is>
      </c>
      <c r="G10" s="5" t="n">
        <v>325</v>
      </c>
      <c r="H10" s="5" t="n">
        <v>293</v>
      </c>
      <c r="I10" s="16" t="n">
        <v>-0.09846153846153849</v>
      </c>
      <c r="J10" s="7" t="n">
        <v>0.673</v>
      </c>
      <c r="K10" s="7" t="n">
        <v>2.344</v>
      </c>
      <c r="L10" s="7" t="n">
        <v>1.478</v>
      </c>
      <c r="M10" s="8" t="n">
        <v>107</v>
      </c>
      <c r="N10" s="8" t="n">
        <v>81</v>
      </c>
      <c r="O10" s="8" t="n">
        <v>143</v>
      </c>
      <c r="P10" s="8" t="n">
        <v>81</v>
      </c>
      <c r="Q10" s="9" t="n">
        <v>0.00035</v>
      </c>
      <c r="R10" s="9" t="n">
        <v>0.0003088</v>
      </c>
      <c r="S10" s="17" t="inlineStr">
        <is>
          <t>OK</t>
        </is>
      </c>
      <c r="T10" s="17" t="inlineStr">
        <is>
          <t>OK</t>
        </is>
      </c>
      <c r="U10" s="4" t="n"/>
      <c r="V10" s="18" t="inlineStr">
        <is>
          <t>same</t>
        </is>
      </c>
      <c r="W10" s="18" t="inlineStr">
        <is>
          <t>yes</t>
        </is>
      </c>
      <c r="X10" s="18" t="n"/>
    </row>
    <row r="11" ht="120" customHeight="1">
      <c r="A11" s="4" t="inlineStr">
        <is>
          <t>R04</t>
        </is>
      </c>
      <c r="B11" s="4" t="inlineStr">
        <is>
          <t>reply, payment</t>
        </is>
      </c>
      <c r="C11" s="4" t="inlineStr">
        <is>
          <t>Ticket:
Can I pay with PayPal? I can't see it at checkout.
Help articles:
Payment methods: We accept Visa, Mastercard, American Express and PayPal. PayPal appears after you enter your delivery address.</t>
        </is>
      </c>
      <c r="D11" s="4" t="inlineStr">
        <is>
          <t>Yes, PayPal is accepted; it appears after the delivery address is entered.</t>
        </is>
      </c>
      <c r="E11" s="4" t="inlineStr">
        <is>
          <t>Hi,
Yes, we accept PayPal as well as Visa, Mastercard and American Express. The PayPal option appears at checkout once you have entered your delivery address.
Best wishes,
Acme Home Goods Support</t>
        </is>
      </c>
      <c r="F11" s="4" t="inlineStr">
        <is>
          <t>Hi,
Yes, you can pay with PayPal. It appears at checkout once you've entered your delivery address. We also accept Visa, Mastercard and American Express.
The Acme Home Goods team</t>
        </is>
      </c>
      <c r="G11" s="5" t="n">
        <v>197</v>
      </c>
      <c r="H11" s="5" t="n">
        <v>180</v>
      </c>
      <c r="I11" s="16" t="n">
        <v>-0.08629441624365486</v>
      </c>
      <c r="J11" s="7" t="n">
        <v>0.419</v>
      </c>
      <c r="K11" s="7" t="n">
        <v>2.012</v>
      </c>
      <c r="L11" s="7" t="n">
        <v>1.02</v>
      </c>
      <c r="M11" s="8" t="n">
        <v>91</v>
      </c>
      <c r="N11" s="8" t="n">
        <v>49</v>
      </c>
      <c r="O11" s="8" t="n">
        <v>126</v>
      </c>
      <c r="P11" s="8" t="n">
        <v>50</v>
      </c>
      <c r="Q11" s="9" t="n">
        <v>0.000238</v>
      </c>
      <c r="R11" s="9" t="n">
        <v>0.0002208</v>
      </c>
      <c r="S11" s="17" t="inlineStr">
        <is>
          <t>OK</t>
        </is>
      </c>
      <c r="T11" s="17" t="inlineStr">
        <is>
          <t>OK</t>
        </is>
      </c>
      <c r="U11" s="4" t="n"/>
      <c r="V11" s="18" t="inlineStr">
        <is>
          <t>same</t>
        </is>
      </c>
      <c r="W11" s="18" t="inlineStr">
        <is>
          <t>yes</t>
        </is>
      </c>
      <c r="X11" s="18" t="n"/>
    </row>
  </sheetData>
  <autoFilter ref="A1:X11"/>
  <conditionalFormatting sqref="W2:W11">
    <cfRule type="cellIs" priority="1" operator="equal" dxfId="0">
      <formula>"no"</formula>
    </cfRule>
    <cfRule type="cellIs" priority="2" operator="equal" dxfId="1">
      <formula>"yes"</formula>
    </cfRule>
  </conditionalFormatting>
  <conditionalFormatting sqref="V2:V11">
    <cfRule type="cellIs" priority="3" operator="equal" dxfId="0">
      <formula>"old"</formula>
    </cfRule>
  </conditionalFormatting>
  <dataValidations count="2">
    <dataValidation sqref="V2:V11" showDropDown="0" showInputMessage="0" showErrorMessage="0" allowBlank="1" type="list">
      <formula1>"old,new,same"</formula1>
    </dataValidation>
    <dataValidation sqref="W2:W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</cols>
  <sheetData>
    <row r="1">
      <c r="A1" s="20" t="inlineStr">
        <is>
          <t>Setting</t>
        </is>
      </c>
      <c r="B1" s="20" t="inlineStr">
        <is>
          <t>Old</t>
        </is>
      </c>
      <c r="C1" s="20" t="inlineStr">
        <is>
          <t>New</t>
        </is>
      </c>
    </row>
    <row r="2" ht="15" customHeight="1">
      <c r="A2" s="21" t="inlineStr">
        <is>
          <t>config file</t>
        </is>
      </c>
      <c r="B2" s="4" t="inlineStr">
        <is>
          <t>runner_old.json</t>
        </is>
      </c>
      <c r="C2" s="4" t="inlineStr">
        <is>
          <t>runner_new.json</t>
        </is>
      </c>
    </row>
    <row r="3" ht="15" customHeight="1">
      <c r="A3" s="21" t="inlineStr">
        <is>
          <t>name</t>
        </is>
      </c>
      <c r="B3" s="4" t="inlineStr">
        <is>
          <t>old-model-v1 (current prompts)</t>
        </is>
      </c>
      <c r="C3" s="4" t="inlineStr">
        <is>
          <t>new-model-v2 (re-tuned prompts)</t>
        </is>
      </c>
    </row>
    <row r="4" ht="15" customHeight="1">
      <c r="A4" s="21" t="inlineStr">
        <is>
          <t>runner</t>
        </is>
      </c>
      <c r="B4" s="4" t="inlineStr">
        <is>
          <t>mock</t>
        </is>
      </c>
      <c r="C4" s="4" t="inlineStr">
        <is>
          <t>mock</t>
        </is>
      </c>
    </row>
    <row r="5" ht="15" customHeight="1">
      <c r="A5" s="21" t="inlineStr">
        <is>
          <t>model</t>
        </is>
      </c>
      <c r="B5" s="4" t="inlineStr">
        <is>
          <t>old-model-v1</t>
        </is>
      </c>
      <c r="C5" s="4" t="inlineStr">
        <is>
          <t>new-model-v2</t>
        </is>
      </c>
    </row>
    <row r="6" ht="15" customHeight="1">
      <c r="A6" s="21" t="inlineStr">
        <is>
          <t>params</t>
        </is>
      </c>
      <c r="B6" s="4" t="n"/>
      <c r="C6" s="4" t="n"/>
    </row>
    <row r="7" ht="15" customHeight="1">
      <c r="A7" s="21" t="inlineStr">
        <is>
          <t>system</t>
        </is>
      </c>
      <c r="B7" s="4" t="n"/>
      <c r="C7" s="4" t="n"/>
    </row>
    <row r="8" ht="15" customHeight="1">
      <c r="A8" s="21" t="inlineStr">
        <is>
          <t>prompt_template</t>
        </is>
      </c>
      <c r="B8" s="4" t="n"/>
      <c r="C8" s="4" t="n"/>
    </row>
    <row r="9" ht="15" customHeight="1">
      <c r="A9" s="21" t="inlineStr">
        <is>
          <t>price_per_1m_input_tokens</t>
        </is>
      </c>
      <c r="B9" s="4" t="inlineStr">
        <is>
          <t>1.0</t>
        </is>
      </c>
      <c r="C9" s="4" t="inlineStr">
        <is>
          <t>0.8</t>
        </is>
      </c>
    </row>
    <row r="10" ht="15" customHeight="1">
      <c r="A10" s="21" t="inlineStr">
        <is>
          <t>price_per_1m_output_tokens</t>
        </is>
      </c>
      <c r="B10" s="4" t="inlineStr">
        <is>
          <t>3.0</t>
        </is>
      </c>
      <c r="C10" s="4" t="inlineStr">
        <is>
          <t>2.4</t>
        </is>
      </c>
    </row>
    <row r="11" ht="15" customHeight="1">
      <c r="A11" s="21" t="inlineStr">
        <is>
          <t>api_key_env</t>
        </is>
      </c>
      <c r="B11" s="4" t="n"/>
      <c r="C11" s="4" t="n"/>
    </row>
    <row r="12" ht="15" customHeight="1">
      <c r="A12" s="21" t="inlineStr">
        <is>
          <t>mock_base_latency_s</t>
        </is>
      </c>
      <c r="B12" s="4" t="inlineStr">
        <is>
          <t>0.9</t>
        </is>
      </c>
      <c r="C12" s="4" t="inlineStr">
        <is>
          <t>0.6</t>
        </is>
      </c>
    </row>
    <row r="13" ht="15" customHeight="1">
      <c r="A13" s="21" t="inlineStr">
        <is>
          <t>mock_chars_per_token</t>
        </is>
      </c>
      <c r="B13" s="4" t="inlineStr">
        <is>
          <t>4.0</t>
        </is>
      </c>
      <c r="C13" s="4" t="inlineStr">
        <is>
          <t>3.6</t>
        </is>
      </c>
    </row>
    <row r="14" ht="15" customHeight="1">
      <c r="A14" s="21" t="inlineStr">
        <is>
          <t>mock_key</t>
        </is>
      </c>
      <c r="B14" s="4" t="inlineStr">
        <is>
          <t>old</t>
        </is>
      </c>
      <c r="C14" s="4" t="inlineStr">
        <is>
          <t>new</t>
        </is>
      </c>
    </row>
    <row r="15" ht="15" customHeight="1">
      <c r="A15" s="21" t="inlineStr">
        <is>
          <t>mock_responses</t>
        </is>
      </c>
      <c r="B15" s="4" t="inlineStr">
        <is>
          <t>mock_responses.json</t>
        </is>
      </c>
      <c r="C15" s="4" t="inlineStr">
        <is>
          <t>mock_responses.json</t>
        </is>
      </c>
    </row>
    <row r="16" ht="15" customHeight="1">
      <c r="A16" s="21" t="inlineStr">
        <is>
          <t>mock_seconds_per_output_token</t>
        </is>
      </c>
      <c r="B16" s="4" t="inlineStr">
        <is>
          <t>0.02</t>
        </is>
      </c>
      <c r="C16" s="4" t="inlineStr">
        <is>
          <t>0.012</t>
        </is>
      </c>
    </row>
    <row r="17" ht="60" customHeight="1">
      <c r="A17" s="21" t="inlineStr">
        <is>
          <t>feature 'reply': system</t>
        </is>
      </c>
      <c r="B17" s="4" t="inlineStr">
        <is>
          <t>Write a short, friendly reply for an Acme Home Goods support agent to send. Use the help articles when they apply. Do not promise anything the articles do not say.</t>
        </is>
      </c>
      <c r="C17" s="4" t="inlineStr">
        <is>
          <t>Write a short, friendly reply for an Acme Home Goods support agent to send.
- Use the help articles when they apply. Do not promise anything they do not say, including delivery dates.
- Keep it under 120 words. Sign off as "The Acme Home Goods team".</t>
        </is>
      </c>
    </row>
    <row r="18" ht="15" customHeight="1">
      <c r="A18" s="21" t="inlineStr">
        <is>
          <t>feature 'reply': params</t>
        </is>
      </c>
      <c r="B18" s="4" t="inlineStr">
        <is>
          <t>{"temperature": 0.7, "top_p": 0.95, "max_tokens": 400}</t>
        </is>
      </c>
      <c r="C18" s="4" t="inlineStr">
        <is>
          <t>{"temperature": 0.7, "max_tokens": 400}</t>
        </is>
      </c>
    </row>
    <row r="19" ht="75" customHeight="1">
      <c r="A19" s="21" t="inlineStr">
        <is>
          <t>feature 'summarize': system</t>
        </is>
      </c>
      <c r="B19" s="4" t="inlineStr">
        <is>
          <t>You summarize customer support tickets for Acme Home Goods agents. Write 2-3 sentences. Include the order number, the problem, and what the customer wants.</t>
        </is>
      </c>
      <c r="C19" s="4" t="inlineStr">
        <is>
          <t>You summarize customer support tickets for Acme Home Goods agents.
Rules:
- Write 2 or 3 plain sentences. No greeting, no bullet points, no headings.
- Copy the order number exactly as written (for example #10423). If there is no order number, say so.
- Say what went wrong, what the customer wants, and any date they mention.</t>
        </is>
      </c>
    </row>
    <row r="20" ht="15" customHeight="1">
      <c r="A20" s="21" t="inlineStr">
        <is>
          <t>feature 'summarize': params</t>
        </is>
      </c>
      <c r="B20" s="4" t="inlineStr">
        <is>
          <t>{"temperature": 0.3, "max_tokens": 300}</t>
        </is>
      </c>
      <c r="C20" s="4" t="inlineStr">
        <is>
          <t>{"temperature": 0.3, "max_tokens": 300}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compare_runs.py</dc:creator>
  <dcterms:created xmlns:dcterms="http://purl.org/dc/terms/" xmlns:xsi="http://www.w3.org/2001/XMLSchema-instance" xsi:type="dcterms:W3CDTF">2026-10-07T10:12:46Z</dcterms:created>
  <dcterms:modified xmlns:dcterms="http://purl.org/dc/terms/" xmlns:xsi="http://www.w3.org/2001/XMLSchema-instance" xsi:type="dcterms:W3CDTF">2026-10-07T10:12:46Z</dcterms:modified>
</cp:coreProperties>
</file>