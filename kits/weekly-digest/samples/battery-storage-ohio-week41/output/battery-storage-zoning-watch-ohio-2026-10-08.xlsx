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About" sheetId="1" state="visible" r:id="rId1"/>
    <sheet name="Items" sheetId="2" state="visible" r:id="rId2"/>
    <sheet name="Dates" sheetId="3" state="visible" r:id="rId3"/>
  </sheets>
  <definedNames>
    <definedName name="_xlnm._FilterDatabase" localSheetId="1" hidden="1">'Items'!$A$1:$P$1</definedName>
    <definedName name="_xlnm.Print_Titles" localSheetId="1">'Items'!$1:$1</definedName>
    <definedName name="_xlnm._FilterDatabase" localSheetId="2" hidden="1">'Dates'!$A$1:$H$1</definedName>
    <definedName name="_xlnm.Print_Titles" localSheetId="2">'Dates'!$1:$1</definedName>
  </definedNames>
  <calcPr calcId="124519" fullCalcOnLoad="1"/>
</workbook>
</file>

<file path=xl/styles.xml><?xml version="1.0" encoding="utf-8"?>
<styleSheet xmlns="http://schemas.openxmlformats.org/spreadsheetml/2006/main">
  <numFmts count="4">
    <numFmt numFmtId="164" formatCode="yyyy-mm-dd"/>
    <numFmt numFmtId="165" formatCode="yyyy-mm-dd h:mm:ss"/>
    <numFmt numFmtId="166" formatCode="ddd mmm d, yyyy h:mm AM/PM"/>
    <numFmt numFmtId="167" formatCode="mmm d, yyyy"/>
  </numFmts>
  <fonts count="6">
    <font>
      <name val="Calibri"/>
      <family val="2"/>
      <color theme="1"/>
      <sz val="11"/>
      <scheme val="minor"/>
    </font>
    <font>
      <name val="Arial"/>
      <b val="1"/>
      <color rgb="00FFFFFF"/>
      <sz val="10"/>
    </font>
    <font>
      <name val="Arial"/>
      <sz val="10"/>
    </font>
    <font>
      <name val="Arial"/>
      <b val="1"/>
      <sz val="10"/>
    </font>
    <font>
      <name val="Arial"/>
      <color rgb="000B5CAD"/>
      <sz val="10"/>
      <u val="single"/>
    </font>
    <font>
      <name val="Arial"/>
      <b val="1"/>
      <color rgb="0016365C"/>
      <sz val="14"/>
    </font>
  </fonts>
  <fills count="4">
    <fill>
      <patternFill/>
    </fill>
    <fill>
      <patternFill patternType="gray125"/>
    </fill>
    <fill>
      <patternFill patternType="solid">
        <fgColor rgb="0016365C"/>
      </patternFill>
    </fill>
    <fill>
      <patternFill patternType="solid">
        <fgColor rgb="00FFF8D6"/>
      </patternFill>
    </fill>
  </fills>
  <borders count="2">
    <border>
      <left/>
      <right/>
      <top/>
      <bottom/>
      <diagonal/>
    </border>
    <border>
      <bottom style="thin">
        <color rgb="00D5DCE4"/>
      </bottom>
    </border>
  </borders>
  <cellStyleXfs count="1">
    <xf numFmtId="0" fontId="0" fillId="0" borderId="0"/>
  </cellStyleXfs>
  <cellXfs count="13">
    <xf numFmtId="0" fontId="0"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166" fontId="2" fillId="0" borderId="1" applyAlignment="1" pivotButton="0" quotePrefix="0" xfId="0">
      <alignment vertical="top" wrapText="1"/>
    </xf>
    <xf numFmtId="1" fontId="2" fillId="0" borderId="1" applyAlignment="1" pivotButton="0" quotePrefix="0" xfId="0">
      <alignment vertical="top"/>
    </xf>
    <xf numFmtId="167" fontId="2" fillId="0" borderId="1" applyAlignment="1" pivotButton="0" quotePrefix="0" xfId="0">
      <alignment vertical="top" wrapText="1"/>
    </xf>
    <xf numFmtId="0" fontId="4" fillId="0" borderId="1" applyAlignment="1" pivotButton="0" quotePrefix="0" xfId="0">
      <alignment vertical="top" wrapText="1"/>
    </xf>
    <xf numFmtId="0" fontId="2" fillId="3" borderId="1" applyAlignment="1" pivotButton="0" quotePrefix="0" xfId="0">
      <alignment vertical="top" wrapText="1"/>
    </xf>
    <xf numFmtId="1" fontId="2" fillId="0" borderId="1" applyAlignment="1" pivotButton="0" quotePrefix="0" xfId="0">
      <alignment vertical="top" wrapText="1"/>
    </xf>
  </cellXfs>
  <cellStyles count="1">
    <cellStyle name="Normal" xfId="0" builtinId="0" hidden="0"/>
  </cellStyles>
  <dxfs count="3">
    <dxf>
      <font>
        <name val="Arial"/>
        <color rgb="008A949E"/>
      </font>
    </dxf>
    <dxf>
      <font>
        <name val="Arial"/>
        <b val="1"/>
        <color rgb="009B1C1C"/>
      </font>
      <fill>
        <patternFill patternType="solid">
          <fgColor rgb="00FDE2E1"/>
        </patternFill>
      </fill>
    </dxf>
    <dxf>
      <fill>
        <patternFill patternType="solid">
          <fgColor rgb="00FFF1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tarrowcounty.example/commissioners/agendas/2026-10-13-agenda.pdf" TargetMode="External" Id="rId1" /><Relationship Type="http://schemas.openxmlformats.org/officeDocument/2006/relationships/hyperlink" Target="https://www.wrenfieldtwp.example/notices/ZTA-2026-03-hearing-notice.pdf" TargetMode="External" Id="rId2" /><Relationship Type="http://schemas.openxmlformats.org/officeDocument/2006/relationships/hyperlink" Target="https://www.kestrelrpc.example/agendas/current-agenda.pdf" TargetMode="External" Id="rId3" /><Relationship Type="http://schemas.openxmlformats.org/officeDocument/2006/relationships/hyperlink" Target="https://www.haldencounty.example/zoning/cases/CU-2026-031/" TargetMode="External" Id="rId4" /><Relationship Type="http://schemas.openxmlformats.org/officeDocument/2006/relationships/hyperlink" Target="https://www.marlowefalls.example/council/legislation/ord-2026-41-amended.pdf" TargetMode="External" Id="rId5" /></Relationships>
</file>

<file path=xl/worksheets/_rels/sheet3.xml.rels><Relationships xmlns="http://schemas.openxmlformats.org/package/2006/relationships"><Relationship Type="http://schemas.openxmlformats.org/officeDocument/2006/relationships/hyperlink" Target="https://www.tarrowcounty.example/commissioners/agendas/2026-10-13-agenda.pdf" TargetMode="External" Id="rId1" /><Relationship Type="http://schemas.openxmlformats.org/officeDocument/2006/relationships/hyperlink" Target="https://www.wrenfieldtwp.example/notices/ZTA-2026-03-hearing-notice.pdf" TargetMode="External" Id="rId2" /><Relationship Type="http://schemas.openxmlformats.org/officeDocument/2006/relationships/hyperlink" Target="https://www.marlowefalls.example/council/legislation/ord-2026-41-amended.pdf" TargetMode="External" Id="rId3" /><Relationship Type="http://schemas.openxmlformats.org/officeDocument/2006/relationships/hyperlink" Target="https://www.wrenfieldtwp.example/notices/ZTA-2026-03-hearing-notice.pdf" TargetMode="External" Id="rId4" /><Relationship Type="http://schemas.openxmlformats.org/officeDocument/2006/relationships/hyperlink" Target="https://www.kestrelrpc.example/agendas/current-agenda.pdf" TargetMode="External" Id="rId5" /></Relationships>
</file>

<file path=xl/worksheets/sheet1.xml><?xml version="1.0" encoding="utf-8"?>
<worksheet xmlns="http://schemas.openxmlformats.org/spreadsheetml/2006/main">
  <sheetPr>
    <outlinePr summaryBelow="1" summaryRight="1"/>
    <pageSetUpPr fitToPage="1"/>
  </sheetPr>
  <dimension ref="A1:B15"/>
  <sheetViews>
    <sheetView workbookViewId="0">
      <selection activeCell="A1" sqref="A1"/>
    </sheetView>
  </sheetViews>
  <sheetFormatPr baseColWidth="8" defaultRowHeight="15"/>
  <cols>
    <col width="24" customWidth="1" min="1" max="1"/>
    <col width="100" customWidth="1" min="2" max="2"/>
  </cols>
  <sheetData>
    <row r="1" ht="22" customHeight="1">
      <c r="A1" s="1" t="inlineStr">
        <is>
          <t>Battery Storage Zoning Watch</t>
        </is>
      </c>
      <c r="B1" s="2" t="inlineStr"/>
    </row>
    <row r="2" ht="32" customHeight="1">
      <c r="A2" s="3" t="inlineStr">
        <is>
          <t>Sample</t>
        </is>
      </c>
      <c r="B2" s="2" t="inlineStr">
        <is>
          <t>Sample issue: every place, project, company and document in it is fictional. It shows the format of a real issue.</t>
        </is>
      </c>
    </row>
    <row r="3">
      <c r="A3" s="3" t="inlineStr">
        <is>
          <t>Issue</t>
        </is>
      </c>
      <c r="B3" s="2" t="inlineStr">
        <is>
          <t>Ohio · Week 41 · Thursday, October 8, 2026 · Issue 12</t>
        </is>
      </c>
    </row>
    <row r="4">
      <c r="A4" s="3" t="inlineStr">
        <is>
          <t>From</t>
        </is>
      </c>
      <c r="B4" s="2" t="inlineStr">
        <is>
          <t>Fieldline Briefs</t>
        </is>
      </c>
    </row>
    <row r="5">
      <c r="A5" s="3" t="inlineStr">
        <is>
          <t>Items in this issue</t>
        </is>
      </c>
      <c r="B5" s="2" t="n">
        <v>5</v>
      </c>
    </row>
    <row r="6">
      <c r="A6" s="3" t="inlineStr">
        <is>
          <t>Official sources checked</t>
        </is>
      </c>
      <c r="B6" s="2" t="n">
        <v>7</v>
      </c>
    </row>
    <row r="7">
      <c r="A7" s="3" t="inlineStr"/>
      <c r="B7" s="2" t="inlineStr"/>
    </row>
    <row r="8" ht="32" customHeight="1">
      <c r="A8" s="3" t="inlineStr">
        <is>
          <t>How to use this file</t>
        </is>
      </c>
      <c r="B8" s="2" t="inlineStr">
        <is>
          <t>Items has one row per item. Dates lists every hearing, vote and deadline, soonest first. Click 'Open source' to read the official document.</t>
        </is>
      </c>
    </row>
    <row r="9" ht="32" customHeight="1">
      <c r="A9" s="3" t="inlineStr">
        <is>
          <t>Your columns</t>
        </is>
      </c>
      <c r="B9" s="2" t="inlineStr">
        <is>
          <t>The yellow columns (Your status, Your notes) are for you. Pick a status from the list and add notes; nothing else needs editing.</t>
        </is>
      </c>
    </row>
    <row r="10" ht="32" customHeight="1">
      <c r="A10" s="3" t="inlineStr">
        <is>
          <t>Days left</t>
        </is>
      </c>
      <c r="B10" s="2" t="inlineStr">
        <is>
          <t>Counted from today's date by a formula, so it updates each time you open the file. Red: 7 days or less. Amber: 8 to 14 days. Grey: the date has passed.</t>
        </is>
      </c>
    </row>
    <row r="11">
      <c r="A11" s="3" t="inlineStr">
        <is>
          <t>Times</t>
        </is>
      </c>
      <c r="B11" s="2" t="inlineStr">
        <is>
          <t>Times are Eastern Time.</t>
        </is>
      </c>
    </row>
    <row r="12">
      <c r="A12" s="3" t="inlineStr"/>
      <c r="B12" s="2" t="inlineStr"/>
    </row>
    <row r="13" ht="47" customHeight="1">
      <c r="A13" s="3" t="inlineStr">
        <is>
          <t>Not legal advice</t>
        </is>
      </c>
      <c r="B13" s="2" t="inlineStr">
        <is>
          <t>This brief summarises public documents for information only. It is not legal advice and does not tell you what you must do. Dates and details can change after it is sent, so confirm with the official source before you act, and ask a qualified professional about your own situation.</t>
        </is>
      </c>
    </row>
    <row r="14" ht="62" customHeight="1">
      <c r="A14" s="3" t="inlineStr">
        <is>
          <t>How it is made</t>
        </is>
      </c>
      <c r="B14" s="2" t="inlineStr">
        <is>
          <t>Each week we check 7 official sources (county commission agendas, planning commission packets, township legal notices, city legislation and county open data) for changes. A person reads every item against its source document before the brief is sent. We link to the official documents rather than copying them.</t>
        </is>
      </c>
    </row>
    <row r="15">
      <c r="A15" s="3" t="inlineStr">
        <is>
          <t>Contact</t>
        </is>
      </c>
      <c r="B15" s="2" t="inlineStr">
        <is>
          <t>briefs@fieldline.example</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18" customWidth="1" min="3" max="3"/>
    <col width="18" customWidth="1" min="4" max="4"/>
    <col width="22" customWidth="1" min="5" max="5"/>
    <col width="24" customWidth="1" min="6" max="6"/>
    <col width="9" customWidth="1" min="7" max="7"/>
    <col width="70" customWidth="1" min="8" max="8"/>
    <col width="48" customWidth="1" min="9" max="9"/>
    <col width="13" customWidth="1" min="10" max="10"/>
    <col width="36" customWidth="1" min="11" max="11"/>
    <col width="12" customWidth="1" min="12" max="12"/>
    <col width="22" customWidth="1" min="13" max="13"/>
    <col width="12" customWidth="1" min="14" max="14"/>
    <col width="14" customWidth="1" min="15" max="15"/>
    <col width="32" customWidth="1" min="16" max="16"/>
  </cols>
  <sheetData>
    <row r="1" ht="30" customHeight="1">
      <c r="A1" s="4" t="inlineStr">
        <is>
          <t>ID</t>
        </is>
      </c>
      <c r="B1" s="4" t="inlineStr">
        <is>
          <t>Title</t>
        </is>
      </c>
      <c r="C1" s="4" t="inlineStr">
        <is>
          <t>Jurisdiction</t>
        </is>
      </c>
      <c r="D1" s="4" t="inlineStr">
        <is>
          <t>Category</t>
        </is>
      </c>
      <c r="E1" s="4" t="inlineStr">
        <is>
          <t>Next date (ET)</t>
        </is>
      </c>
      <c r="F1" s="4" t="inlineStr">
        <is>
          <t>What happens</t>
        </is>
      </c>
      <c r="G1" s="4" t="inlineStr">
        <is>
          <t>Days left</t>
        </is>
      </c>
      <c r="H1" s="4" t="inlineStr">
        <is>
          <t>Summary</t>
        </is>
      </c>
      <c r="I1" s="4" t="inlineStr">
        <is>
          <t>Why it matters</t>
        </is>
      </c>
      <c r="J1" s="4" t="inlineStr">
        <is>
          <t>Record date</t>
        </is>
      </c>
      <c r="K1" s="4" t="inlineStr">
        <is>
          <t>Source</t>
        </is>
      </c>
      <c r="L1" s="4" t="inlineStr">
        <is>
          <t>Link</t>
        </is>
      </c>
      <c r="M1" s="4" t="inlineStr">
        <is>
          <t>Tags</t>
        </is>
      </c>
      <c r="N1" s="4" t="inlineStr">
        <is>
          <t>Checked on</t>
        </is>
      </c>
      <c r="O1" s="4" t="inlineStr">
        <is>
          <t>Your status</t>
        </is>
      </c>
      <c r="P1" s="4" t="inlineStr">
        <is>
          <t>Your notes</t>
        </is>
      </c>
    </row>
    <row r="2" ht="124" customHeight="1">
      <c r="A2" s="5" t="inlineStr">
        <is>
          <t>W41-01</t>
        </is>
      </c>
      <c r="B2" s="6" t="inlineStr">
        <is>
          <t>Tarrow County to consider a 12-month pause on battery storage zoning applications</t>
        </is>
      </c>
      <c r="C2" s="5" t="inlineStr">
        <is>
          <t>Tarrow County</t>
        </is>
      </c>
      <c r="D2" s="5" t="inlineStr">
        <is>
          <t>Moratoria</t>
        </is>
      </c>
      <c r="E2" s="7" t="n">
        <v>46308.39583333334</v>
      </c>
      <c r="F2" s="5" t="inlineStr">
        <is>
          <t>Commissioners' session (public comment at the start)</t>
        </is>
      </c>
      <c r="G2" s="8">
        <f>IF(E2="","",INT(E2)-TODAY())</f>
        <v/>
      </c>
      <c r="H2" s="5" t="inlineStr">
        <is>
          <t>Commissioners will take up Resolution 2026-118 at their October 13 regular session. It would stop the county from accepting or processing zoning permits, rezonings (zoning map amendments) and conditional use requests for battery energy storage facilities of 1 MW or more for 12 months. It covers the areas under county zoning, currently Ferris, Quill and Brindle townships; townships that run their own zoning are not affected. Applications filed and found complete before it takes effect, and batteries that serve a single home or business on the same property, are excluded.</t>
        </is>
      </c>
      <c r="I2" s="5" t="inlineStr">
        <is>
          <t>As drafted, the pause takes effect on the day it is adopted. The county zoning commission would then have nine months to recommend setback, fire-safety and decommissioning standards.</t>
        </is>
      </c>
      <c r="J2" s="9" t="n">
        <v>46301</v>
      </c>
      <c r="K2" s="5" t="inlineStr">
        <is>
          <t>Tarrow County Board of Commissioners, agenda for October 13, 2026 (PDF), page 2, item 7</t>
        </is>
      </c>
      <c r="L2" s="10" t="inlineStr">
        <is>
          <t>Open source</t>
        </is>
      </c>
      <c r="M2" s="5" t="inlineStr">
        <is>
          <t>moratorium, tarrow-county</t>
        </is>
      </c>
      <c r="N2" s="9" t="n">
        <v>46303</v>
      </c>
      <c r="O2" s="11" t="inlineStr">
        <is>
          <t>New</t>
        </is>
      </c>
      <c r="P2" s="11" t="n"/>
    </row>
    <row r="3" ht="109" customHeight="1">
      <c r="A3" s="5" t="inlineStr">
        <is>
          <t>W41-02</t>
        </is>
      </c>
      <c r="B3" s="6" t="inlineStr">
        <is>
          <t>Wrenfield Township proposes battery storage rules: I-1 district only, 300-foot setbacks, removal bond</t>
        </is>
      </c>
      <c r="C3" s="5" t="inlineStr">
        <is>
          <t>Wrenfield Township, Tarrow County</t>
        </is>
      </c>
      <c r="D3" s="5" t="inlineStr">
        <is>
          <t>Zoning rules</t>
        </is>
      </c>
      <c r="E3" s="7" t="n">
        <v>46311.66666666666</v>
      </c>
      <c r="F3" s="5" t="inlineStr">
        <is>
          <t>Written comments due to the Zoning Inspector</t>
        </is>
      </c>
      <c r="G3" s="8">
        <f>IF(E3="","",INT(E3)-TODAY())</f>
        <v/>
      </c>
      <c r="H3" s="5" t="inlineStr">
        <is>
          <t>Zoning text amendment ZTA-2026-03 would add definitions for battery energy storage systems and allow battery energy storage facilities only as a conditional use in the I-1 Light Industrial district. It would require setbacks of at least 300 feet from existing homes and 100 feet from property lines, a decommissioning plan backed by a bond or letter of credit and reviewed every five years, and a fire-safety plan reviewed by the fire chief before a zoning certificate is issued.</t>
        </is>
      </c>
      <c r="I3" s="5" t="inlineStr">
        <is>
          <t>Written comments close on October 16. After the October 21 hearing, the township zoning commission sends its recommendation to the township trustees.</t>
        </is>
      </c>
      <c r="J3" s="9" t="n">
        <v>46300</v>
      </c>
      <c r="K3" s="5" t="inlineStr">
        <is>
          <t>Wrenfield Township, notice of public hearing on ZTA-2026-03 (PDF), proposed amendments 1 to 5</t>
        </is>
      </c>
      <c r="L3" s="10" t="inlineStr">
        <is>
          <t>Open source</t>
        </is>
      </c>
      <c r="M3" s="5" t="inlineStr">
        <is>
          <t>zoning-text-amendment, setbacks, wrenfield-township</t>
        </is>
      </c>
      <c r="N3" s="9" t="n">
        <v>46303</v>
      </c>
      <c r="O3" s="11" t="inlineStr">
        <is>
          <t>New</t>
        </is>
      </c>
      <c r="P3" s="11" t="n"/>
    </row>
    <row r="4" ht="94" customHeight="1">
      <c r="A4" s="5" t="inlineStr">
        <is>
          <t>W41-03</t>
        </is>
      </c>
      <c r="B4" s="6" t="inlineStr">
        <is>
          <t>48-acre rezoning sought for an 80 MW battery project on Kessler Road</t>
        </is>
      </c>
      <c r="C4" s="5" t="inlineStr">
        <is>
          <t>Wrenfield Township, Tarrow County</t>
        </is>
      </c>
      <c r="D4" s="5" t="inlineStr">
        <is>
          <t>Rezonings and applications</t>
        </is>
      </c>
      <c r="E4" s="7" t="n">
        <v>46317.75</v>
      </c>
      <c r="F4" s="5" t="inlineStr">
        <is>
          <t>Planning commission hearing and recommendation</t>
        </is>
      </c>
      <c r="G4" s="8">
        <f>IF(E4="","",INT(E4)-TODAY())</f>
        <v/>
      </c>
      <c r="H4" s="5" t="inlineStr">
        <is>
          <t>Northbank Storage Partners LLC asks to rezone about 48.2 acres on the north side of Kessler Road from A-1 Agricultural to I-1 Light Industrial for a battery energy storage facility of about 80 MW / 320 MWh, as stated in the application (case RZ-26-014).</t>
        </is>
      </c>
      <c r="I4" s="5" t="inlineStr">
        <is>
          <t>The Kestrel Regional Planning Commission holds the first public hearing and makes a recommendation on October 22. The township zoning commission then holds its own hearing before the township trustees decide. The same township is also considering the new battery storage rules above.</t>
        </is>
      </c>
      <c r="J4" s="9" t="n">
        <v>46300</v>
      </c>
      <c r="K4" s="5" t="inlineStr">
        <is>
          <t>Kestrel Regional Planning Commission, agenda for October 22, 2026 (PDF), page 1, item 3a; case summary on page 2</t>
        </is>
      </c>
      <c r="L4" s="10" t="inlineStr">
        <is>
          <t>Open source</t>
        </is>
      </c>
      <c r="M4" s="5" t="inlineStr">
        <is>
          <t>rezoning, wrenfield-township</t>
        </is>
      </c>
      <c r="N4" s="9" t="n">
        <v>46303</v>
      </c>
      <c r="O4" s="11" t="inlineStr">
        <is>
          <t>New</t>
        </is>
      </c>
      <c r="P4" s="11" t="n"/>
    </row>
    <row r="5" ht="64" customHeight="1">
      <c r="A5" s="5" t="inlineStr">
        <is>
          <t>W41-04</t>
        </is>
      </c>
      <c r="B5" s="6" t="inlineStr">
        <is>
          <t>20 MW battery storage project files for a conditional use in Larch Township</t>
        </is>
      </c>
      <c r="C5" s="5" t="inlineStr">
        <is>
          <t>Larch Township, Halden County</t>
        </is>
      </c>
      <c r="D5" s="5" t="inlineStr">
        <is>
          <t>Rezonings and applications</t>
        </is>
      </c>
      <c r="E5" s="5" t="n"/>
      <c r="F5" s="5" t="inlineStr"/>
      <c r="G5" s="8">
        <f>IF(E5="","",INT(E5)-TODAY())</f>
        <v/>
      </c>
      <c r="H5" s="5" t="inlineStr">
        <is>
          <t>Greyline Energy Storage LLC filed conditional use application CU-2026-031 on October 2 for "Larch Storage", a 20 MW battery energy storage facility on about 6.5 acres on the south side of Tolland Road, east of the Larch substation.</t>
        </is>
      </c>
      <c r="I5" s="5" t="inlineStr">
        <is>
          <t>The county lists the application as received, with a Board of Zoning Appeals hearing still to be scheduled. We will add the hearing date when the county posts it.</t>
        </is>
      </c>
      <c r="J5" s="9" t="n">
        <v>46297</v>
      </c>
      <c r="K5" s="5" t="inlineStr">
        <is>
          <t>Halden County open data, zoning applications (case CU-2026-031), case record</t>
        </is>
      </c>
      <c r="L5" s="10" t="inlineStr">
        <is>
          <t>Open source</t>
        </is>
      </c>
      <c r="M5" s="5" t="inlineStr">
        <is>
          <t>conditional-use, larch-township, halden-county</t>
        </is>
      </c>
      <c r="N5" s="9" t="n">
        <v>46303</v>
      </c>
      <c r="O5" s="11" t="inlineStr">
        <is>
          <t>New</t>
        </is>
      </c>
      <c r="P5" s="11" t="n"/>
    </row>
    <row r="6" ht="109" customHeight="1">
      <c r="A6" s="5" t="inlineStr">
        <is>
          <t>W41-05</t>
        </is>
      </c>
      <c r="B6" s="6" t="inlineStr">
        <is>
          <t>Marlowe Falls battery fire-safety ordinance amended ahead of its second reading</t>
        </is>
      </c>
      <c r="C6" s="5" t="inlineStr">
        <is>
          <t>City of Marlowe Falls, Halden County</t>
        </is>
      </c>
      <c r="D6" s="5" t="inlineStr">
        <is>
          <t>Ordinances</t>
        </is>
      </c>
      <c r="E6" s="7" t="n">
        <v>46314.79166666666</v>
      </c>
      <c r="F6" s="5" t="inlineStr">
        <is>
          <t>City council second reading</t>
        </is>
      </c>
      <c r="G6" s="8">
        <f>IF(E6="","",INT(E6)-TODAY())</f>
        <v/>
      </c>
      <c r="H6" s="5" t="inlineStr">
        <is>
          <t>The Safety Committee amended Ordinance 2026-41 on October 5. As amended, it applies to battery energy storage systems larger than 600 kWh (up from 50 kWh), other than systems serving a single one- or two-family home. It requires compliance with NFPA 855, an emergency response plan approved by the fire chief before a certificate of occupancy is issued, a site walkthrough with the fire department once a year (down from twice a year) and a 24-hour emergency contact posted at each entrance.</t>
        </is>
      </c>
      <c r="I6" s="5" t="inlineStr">
        <is>
          <t>Systems of 600 kWh or less would not be covered. City council holds the second reading on October 19.</t>
        </is>
      </c>
      <c r="J6" s="9" t="n">
        <v>46300</v>
      </c>
      <c r="K6" s="5" t="inlineStr">
        <is>
          <t>City of Marlowe Falls, Ordinance 2026-41 as amended (PDF), sections 1 to 5; committee amendments on page 2</t>
        </is>
      </c>
      <c r="L6" s="10" t="inlineStr">
        <is>
          <t>Open source</t>
        </is>
      </c>
      <c r="M6" s="5" t="inlineStr">
        <is>
          <t>ordinance, fire-safety, marlowe-falls</t>
        </is>
      </c>
      <c r="N6" s="9" t="n">
        <v>46303</v>
      </c>
      <c r="O6" s="11" t="inlineStr">
        <is>
          <t>New</t>
        </is>
      </c>
      <c r="P6" s="11" t="n"/>
    </row>
  </sheetData>
  <autoFilter ref="A1:P1"/>
  <conditionalFormatting sqref="G2:G6">
    <cfRule type="expression" priority="1" dxfId="0">
      <formula>AND(ISNUMBER(G2),G2&lt;0)</formula>
    </cfRule>
    <cfRule type="expression" priority="2" dxfId="1">
      <formula>AND(ISNUMBER(G2),G2&gt;=0,G2&lt;=7)</formula>
    </cfRule>
    <cfRule type="expression" priority="3" dxfId="2">
      <formula>AND(ISNUMBER(G2),G2&gt;7,G2&lt;=14)</formula>
    </cfRule>
  </conditionalFormatting>
  <dataValidations count="1">
    <dataValidation sqref="O2 O3 O4 O5 O6" showDropDown="0" showInputMessage="0" showErrorMessage="0" allowBlank="1" promptTitle="Your status" prompt="Pick a status for your own tracking." type="list">
      <formula1>"New,Watching,Acting on it,Done,Not relevant"</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6" customWidth="1" min="2" max="2"/>
    <col width="24" customWidth="1" min="3" max="3"/>
    <col width="34" customWidth="1" min="4" max="4"/>
    <col width="9" customWidth="1" min="5" max="5"/>
    <col width="18" customWidth="1" min="6" max="6"/>
    <col width="40" customWidth="1" min="7" max="7"/>
    <col width="12" customWidth="1" min="8" max="8"/>
  </cols>
  <sheetData>
    <row r="1" ht="30" customHeight="1">
      <c r="A1" s="4" t="inlineStr">
        <is>
          <t>Item</t>
        </is>
      </c>
      <c r="B1" s="4" t="inlineStr">
        <is>
          <t>Title</t>
        </is>
      </c>
      <c r="C1" s="4" t="inlineStr">
        <is>
          <t>Date (ET)</t>
        </is>
      </c>
      <c r="D1" s="4" t="inlineStr">
        <is>
          <t>What happens</t>
        </is>
      </c>
      <c r="E1" s="4" t="inlineStr">
        <is>
          <t>Days left</t>
        </is>
      </c>
      <c r="F1" s="4" t="inlineStr">
        <is>
          <t>Jurisdiction</t>
        </is>
      </c>
      <c r="G1" s="4" t="inlineStr">
        <is>
          <t>Where</t>
        </is>
      </c>
      <c r="H1" s="4" t="inlineStr">
        <is>
          <t>Link</t>
        </is>
      </c>
    </row>
    <row r="2" ht="30" customHeight="1">
      <c r="A2" s="5" t="inlineStr">
        <is>
          <t>W41-01</t>
        </is>
      </c>
      <c r="B2" s="5" t="inlineStr">
        <is>
          <t>Tarrow County to consider a 12-month pause on battery storage zoning applications</t>
        </is>
      </c>
      <c r="C2" s="7" t="n">
        <v>46308.39583333334</v>
      </c>
      <c r="D2" s="5" t="inlineStr">
        <is>
          <t>Commissioners' session (public comment at the start)</t>
        </is>
      </c>
      <c r="E2" s="12">
        <f>IF(C2="","",INT(C2)-TODAY())</f>
        <v/>
      </c>
      <c r="F2" s="5" t="inlineStr">
        <is>
          <t>Tarrow County</t>
        </is>
      </c>
      <c r="G2" s="5" t="inlineStr">
        <is>
          <t>Commissioners' Chambers, Tarrow County Administration Building, 41 Court Street, Tarrow City</t>
        </is>
      </c>
      <c r="H2" s="10" t="inlineStr">
        <is>
          <t>Open source</t>
        </is>
      </c>
    </row>
    <row r="3" ht="30" customHeight="1">
      <c r="A3" s="5" t="inlineStr">
        <is>
          <t>W41-02</t>
        </is>
      </c>
      <c r="B3" s="5" t="inlineStr">
        <is>
          <t>Wrenfield Township proposes battery storage rules: I-1 district only, 300-foot setbacks, removal bond</t>
        </is>
      </c>
      <c r="C3" s="7" t="n">
        <v>46311.66666666666</v>
      </c>
      <c r="D3" s="5" t="inlineStr">
        <is>
          <t>Written comments due to the Zoning Inspector</t>
        </is>
      </c>
      <c r="E3" s="12">
        <f>IF(C3="","",INT(C3)-TODAY())</f>
        <v/>
      </c>
      <c r="F3" s="5" t="inlineStr">
        <is>
          <t>Wrenfield Township, Tarrow County</t>
        </is>
      </c>
      <c r="G3" s="5" t="inlineStr"/>
      <c r="H3" s="10" t="inlineStr">
        <is>
          <t>Open source</t>
        </is>
      </c>
    </row>
    <row r="4" ht="30" customHeight="1">
      <c r="A4" s="5" t="inlineStr">
        <is>
          <t>W41-05</t>
        </is>
      </c>
      <c r="B4" s="5" t="inlineStr">
        <is>
          <t>Marlowe Falls battery fire-safety ordinance amended ahead of its second reading</t>
        </is>
      </c>
      <c r="C4" s="7" t="n">
        <v>46314.79166666666</v>
      </c>
      <c r="D4" s="5" t="inlineStr">
        <is>
          <t>City council second reading</t>
        </is>
      </c>
      <c r="E4" s="12">
        <f>IF(C4="","",INT(C4)-TODAY())</f>
        <v/>
      </c>
      <c r="F4" s="5" t="inlineStr">
        <is>
          <t>City of Marlowe Falls, Halden County</t>
        </is>
      </c>
      <c r="G4" s="5" t="inlineStr">
        <is>
          <t>Council Chambers, Marlowe Falls City Hall, 12 Main Street</t>
        </is>
      </c>
      <c r="H4" s="10" t="inlineStr">
        <is>
          <t>Open source</t>
        </is>
      </c>
    </row>
    <row r="5" ht="30" customHeight="1">
      <c r="A5" s="5" t="inlineStr">
        <is>
          <t>W41-02</t>
        </is>
      </c>
      <c r="B5" s="5" t="inlineStr">
        <is>
          <t>Wrenfield Township proposes battery storage rules: I-1 district only, 300-foot setbacks, removal bond</t>
        </is>
      </c>
      <c r="C5" s="7" t="n">
        <v>46316.79166666666</v>
      </c>
      <c r="D5" s="5" t="inlineStr">
        <is>
          <t>Township zoning commission public hearing</t>
        </is>
      </c>
      <c r="E5" s="12">
        <f>IF(C5="","",INT(C5)-TODAY())</f>
        <v/>
      </c>
      <c r="F5" s="5" t="inlineStr">
        <is>
          <t>Wrenfield Township, Tarrow County</t>
        </is>
      </c>
      <c r="G5" s="5" t="inlineStr">
        <is>
          <t>Wrenfield Township Hall, 8 Gable Road</t>
        </is>
      </c>
      <c r="H5" s="10" t="inlineStr">
        <is>
          <t>Open source</t>
        </is>
      </c>
    </row>
    <row r="6" ht="30" customHeight="1">
      <c r="A6" s="5" t="inlineStr">
        <is>
          <t>W41-03</t>
        </is>
      </c>
      <c r="B6" s="5" t="inlineStr">
        <is>
          <t>48-acre rezoning sought for an 80 MW battery project on Kessler Road</t>
        </is>
      </c>
      <c r="C6" s="7" t="n">
        <v>46317.75</v>
      </c>
      <c r="D6" s="5" t="inlineStr">
        <is>
          <t>Planning commission hearing and recommendation</t>
        </is>
      </c>
      <c r="E6" s="12">
        <f>IF(C6="","",INT(C6)-TODAY())</f>
        <v/>
      </c>
      <c r="F6" s="5" t="inlineStr">
        <is>
          <t>Wrenfield Township, Tarrow County</t>
        </is>
      </c>
      <c r="G6" s="5" t="inlineStr">
        <is>
          <t>RPC Meeting Room, 210 Pike Street, Tarrow City</t>
        </is>
      </c>
      <c r="H6" s="10" t="inlineStr">
        <is>
          <t>Open source</t>
        </is>
      </c>
    </row>
  </sheetData>
  <autoFilter ref="A1:H1"/>
  <conditionalFormatting sqref="E2:E6">
    <cfRule type="expression" priority="1" dxfId="0">
      <formula>AND(ISNUMBER(E2),E2&lt;0)</formula>
    </cfRule>
    <cfRule type="expression" priority="2" dxfId="1">
      <formula>AND(ISNUMBER(E2),E2&gt;=0,E2&lt;=7)</formula>
    </cfRule>
    <cfRule type="expression" priority="3" dxfId="2">
      <formula>AND(ISNUMBER(E2),E2&gt;7,E2&lt;=14)</formula>
    </cfRule>
  </conditionalFormatting>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2026-10-07T10:42:35Z</dcterms:created>
  <dcterms:modified xsi:type="dcterms:W3CDTF">2026-10-07T10:42:35Z</dcterms:modified>
</cp:coreProperties>
</file>