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bmittal Log" sheetId="1" r:id="rId1"/>
    <sheet name="Summary" sheetId="2" r:id="rId2"/>
    <sheet name="Lists" sheetId="3" r:id="rId3"/>
    <sheet name="Read me" sheetId="4" r:id="rId4"/>
  </sheets>
  <definedNames>
    <definedName name="_xlnm._FilterDatabase" localSheetId="0" hidden="1">'Submittal Log'!$A$7:$P$257</definedName>
    <definedName name="_xlnm.Print_Area" localSheetId="0">'Submittal Log'!$A$1:$P$47</definedName>
    <definedName name="_xlnm.Print_Titles" localSheetId="0">'Submittal Log'!$7:$7</definedName>
  </definedNames>
  <calcPr calcId="124519" fullCalcOnLoad="1"/>
</workbook>
</file>

<file path=xl/sharedStrings.xml><?xml version="1.0" encoding="utf-8"?>
<sst xmlns="http://schemas.openxmlformats.org/spreadsheetml/2006/main" count="84" uniqueCount="66">
  <si>
    <t>Type</t>
  </si>
  <si>
    <t>Product data</t>
  </si>
  <si>
    <t>Shop drawings</t>
  </si>
  <si>
    <t>Samples</t>
  </si>
  <si>
    <t>Calculations</t>
  </si>
  <si>
    <t>Certificates</t>
  </si>
  <si>
    <t>Test reports</t>
  </si>
  <si>
    <t>O&amp;M manual</t>
  </si>
  <si>
    <t>Warranty</t>
  </si>
  <si>
    <t>Record drawings</t>
  </si>
  <si>
    <t>Closeout</t>
  </si>
  <si>
    <t>Other</t>
  </si>
  <si>
    <t>Status</t>
  </si>
  <si>
    <t>Not submitted</t>
  </si>
  <si>
    <t>Submitted - under review</t>
  </si>
  <si>
    <t>Approved</t>
  </si>
  <si>
    <t>Approved as noted</t>
  </si>
  <si>
    <t>Revise and resubmit</t>
  </si>
  <si>
    <t>Rejected</t>
  </si>
  <si>
    <t>For record only</t>
  </si>
  <si>
    <t>Closed</t>
  </si>
  <si>
    <t>Ball in court</t>
  </si>
  <si>
    <t>Subcontractor</t>
  </si>
  <si>
    <t>General contractor</t>
  </si>
  <si>
    <t>Architect / engineer</t>
  </si>
  <si>
    <t>Owner</t>
  </si>
  <si>
    <t>Edit these lists to change the drop-down choices.</t>
  </si>
  <si>
    <t>SUBMITTAL LOG</t>
  </si>
  <si>
    <t>Project</t>
  </si>
  <si>
    <t>Project no.</t>
  </si>
  <si>
    <t>Prepared by</t>
  </si>
  <si>
    <t>Log updated</t>
  </si>
  <si>
    <t>Yellow cells are for you to fill in. Days in review and Late? are worked out for you. This log tracks paperwork only; it does not confirm that anything complies.</t>
  </si>
  <si>
    <t>Submittal No.</t>
  </si>
  <si>
    <t>Rev</t>
  </si>
  <si>
    <t>Spec section</t>
  </si>
  <si>
    <t>Description</t>
  </si>
  <si>
    <t>Submitted to</t>
  </si>
  <si>
    <t>Date required</t>
  </si>
  <si>
    <t>Date submitted</t>
  </si>
  <si>
    <t>Date returned</t>
  </si>
  <si>
    <t>Days in review</t>
  </si>
  <si>
    <t>Late?</t>
  </si>
  <si>
    <t>Next action</t>
  </si>
  <si>
    <t>Reviewer comments / notes</t>
  </si>
  <si>
    <t>File name</t>
  </si>
  <si>
    <t>EXAMPLE 23 34 23-001</t>
  </si>
  <si>
    <t>0</t>
  </si>
  <si>
    <t>23 34 23</t>
  </si>
  <si>
    <t>Exhaust fans EF-1 to EF-3 - product data (example row: replace or delete)</t>
  </si>
  <si>
    <t>File the reviewed copy</t>
  </si>
  <si>
    <t>Confirm motor voltage with the electrical drawings.</t>
  </si>
  <si>
    <t>23 34 23-001_R0_Exhaust-Fans_Product-Data.pdf</t>
  </si>
  <si>
    <t>Submittal summary</t>
  </si>
  <si>
    <t>Count</t>
  </si>
  <si>
    <t>Total submittals logged</t>
  </si>
  <si>
    <t>Late to submit</t>
  </si>
  <si>
    <t>Average days in review (returned)</t>
  </si>
  <si>
    <t>How to use this submittal log</t>
  </si>
  <si>
    <t>One row per submittal, and a new row for each resubmittal (same number, next Rev). Use the general contractor's numbering if they have one; otherwise spec section + sequence, e.g. 23 34 23-001.</t>
  </si>
  <si>
    <t>Yellow cells at the top are for the project details. Type and Status have drop-downs (edit them on the Lists sheet). Days in review and Late? are formulas: don't type over them.</t>
  </si>
  <si>
    <t>Days in review counts from Date submitted to Date returned, or to today while the item is still out. It turns amber after 14 days. Late? shows LATE when the required date has passed and nothing was submitted.</t>
  </si>
  <si>
    <t>File name: the exact name of the PDF you sent, so you can always find it again.</t>
  </si>
  <si>
    <t>The Summary sheet counts submittals by status.</t>
  </si>
  <si>
    <t>Rules</t>
  </si>
  <si>
    <t>This log tracks paperwork. Approval decisions come from the reviewers. You never certify that a product complies, and you never alter a manufacturer's document.</t>
  </si>
</sst>
</file>

<file path=xl/styles.xml><?xml version="1.0" encoding="utf-8"?>
<styleSheet xmlns="http://schemas.openxmlformats.org/spreadsheetml/2006/main">
  <numFmts count="2">
    <numFmt numFmtId="164" formatCode="yyyy-mm-dd"/>
    <numFmt numFmtId="165" formatCode="0.0"/>
  </numFmts>
  <fonts count="10">
    <font>
      <sz val="11"/>
      <color theme="1"/>
      <name val="Calibri"/>
      <family val="2"/>
      <scheme val="minor"/>
    </font>
    <font>
      <b/>
      <sz val="16"/>
      <color rgb="FF1F3A5F"/>
      <name val="Arial"/>
      <family val="2"/>
    </font>
    <font>
      <b/>
      <sz val="10"/>
      <color rgb="FF333333"/>
      <name val="Arial"/>
      <family val="2"/>
    </font>
    <font>
      <sz val="10"/>
      <color theme="1"/>
      <name val="Arial"/>
      <family val="2"/>
    </font>
    <font>
      <i/>
      <sz val="10"/>
      <color rgb="FF555555"/>
      <name val="Arial"/>
      <family val="2"/>
    </font>
    <font>
      <b/>
      <sz val="10"/>
      <color rgb="FFFFFFFF"/>
      <name val="Arial"/>
      <family val="2"/>
    </font>
    <font>
      <i/>
      <sz val="10"/>
      <color rgb="FF7F7F7F"/>
      <name val="Arial"/>
      <family val="2"/>
    </font>
    <font>
      <b/>
      <sz val="10"/>
      <color theme="1"/>
      <name val="Arial"/>
      <family val="2"/>
    </font>
    <font>
      <sz val="10"/>
      <color rgb="FF444444"/>
      <name val="Arial"/>
      <family val="2"/>
    </font>
    <font>
      <b/>
      <sz val="12"/>
      <color rgb="FF1F3A5F"/>
      <name val="Arial"/>
      <family val="2"/>
    </font>
  </fonts>
  <fills count="4">
    <fill>
      <patternFill patternType="none"/>
    </fill>
    <fill>
      <patternFill patternType="gray125"/>
    </fill>
    <fill>
      <patternFill patternType="solid">
        <fgColor rgb="FFFFF9DB"/>
        <bgColor indexed="64"/>
      </patternFill>
    </fill>
    <fill>
      <patternFill patternType="solid">
        <fgColor rgb="FF1F3A5F"/>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2" fillId="0" borderId="0" xfId="0" applyFont="1" applyAlignment="1">
      <alignment vertical="top"/>
    </xf>
    <xf numFmtId="0" fontId="3" fillId="2" borderId="1" xfId="0" applyFont="1" applyFill="1" applyBorder="1" applyAlignment="1">
      <alignment vertical="top"/>
    </xf>
    <xf numFmtId="164" fontId="3" fillId="2" borderId="1" xfId="0" applyNumberFormat="1" applyFont="1" applyFill="1" applyBorder="1" applyAlignment="1">
      <alignment horizontal="left" vertical="top"/>
    </xf>
    <xf numFmtId="0" fontId="4" fillId="0" borderId="0" xfId="0" applyFont="1" applyAlignment="1">
      <alignment vertical="top"/>
    </xf>
    <xf numFmtId="0" fontId="5" fillId="3" borderId="1" xfId="0" applyFont="1" applyFill="1" applyBorder="1" applyAlignment="1">
      <alignment vertical="center" wrapText="1"/>
    </xf>
    <xf numFmtId="0" fontId="6" fillId="0" borderId="2" xfId="0" applyFont="1" applyBorder="1" applyAlignment="1">
      <alignment vertical="top" wrapText="1"/>
    </xf>
    <xf numFmtId="164" fontId="6" fillId="0" borderId="2" xfId="0" applyNumberFormat="1" applyFont="1" applyBorder="1" applyAlignment="1">
      <alignment horizontal="center" vertical="top"/>
    </xf>
    <xf numFmtId="1" fontId="3" fillId="0" borderId="2" xfId="0" applyNumberFormat="1" applyFont="1" applyBorder="1" applyAlignment="1">
      <alignment horizontal="center" vertical="top"/>
    </xf>
    <xf numFmtId="0" fontId="3" fillId="0" borderId="2" xfId="0" applyFont="1" applyBorder="1" applyAlignment="1">
      <alignment horizontal="center" vertical="top"/>
    </xf>
    <xf numFmtId="0" fontId="3" fillId="0" borderId="2" xfId="0" applyFont="1" applyBorder="1" applyAlignment="1">
      <alignment vertical="top" wrapText="1"/>
    </xf>
    <xf numFmtId="164" fontId="3" fillId="0" borderId="2" xfId="0" applyNumberFormat="1" applyFont="1" applyBorder="1" applyAlignment="1">
      <alignment horizontal="center" vertical="top"/>
    </xf>
    <xf numFmtId="0" fontId="7" fillId="0" borderId="2" xfId="0" applyFont="1" applyBorder="1" applyAlignment="1">
      <alignment vertical="top" wrapText="1"/>
    </xf>
    <xf numFmtId="165" fontId="3" fillId="0" borderId="2" xfId="0" applyNumberFormat="1" applyFont="1" applyBorder="1" applyAlignment="1">
      <alignment horizontal="center" vertical="top"/>
    </xf>
    <xf numFmtId="0" fontId="8" fillId="0" borderId="0" xfId="0" applyFont="1" applyAlignment="1">
      <alignment vertical="top" wrapText="1"/>
    </xf>
    <xf numFmtId="0" fontId="9" fillId="0" borderId="0" xfId="0" applyFont="1" applyAlignment="1">
      <alignment vertical="top"/>
    </xf>
  </cellXfs>
  <cellStyles count="1">
    <cellStyle name="Normal" xfId="0" builtinId="0"/>
  </cellStyles>
  <dxfs count="5">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1F3A5F"/>
      </font>
      <fill>
        <patternFill>
          <bgColor rgb="FFDDEBF7"/>
        </patternFill>
      </fill>
    </dxf>
    <dxf>
      <font>
        <color rgb="FF404040"/>
      </font>
      <fill>
        <patternFill>
          <bgColor rgb="FFEDEDE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P257"/>
  <sheetViews>
    <sheetView showGridLines="0" tabSelected="1"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5.7109375" customWidth="1"/>
    <col min="2" max="2" width="5.7109375" customWidth="1"/>
    <col min="3" max="3" width="11.7109375" customWidth="1"/>
    <col min="4" max="4" width="42.7109375" customWidth="1"/>
    <col min="5" max="5" width="15.7109375" customWidth="1"/>
    <col min="6" max="6" width="20.7109375" customWidth="1"/>
    <col min="7" max="9" width="11.7109375" customWidth="1"/>
    <col min="10" max="10" width="22.7109375" customWidth="1"/>
    <col min="11" max="11" width="9.7109375" customWidth="1"/>
    <col min="12" max="12" width="7.7109375" customWidth="1"/>
    <col min="13" max="13" width="15.7109375" customWidth="1"/>
    <col min="14" max="14" width="30.7109375" customWidth="1"/>
    <col min="15" max="15" width="42.7109375" customWidth="1"/>
    <col min="16" max="16" width="34.7109375" customWidth="1"/>
  </cols>
  <sheetData>
    <row r="1" spans="1:16" ht="26" customHeight="1">
      <c r="A1" s="1" t="s">
        <v>27</v>
      </c>
    </row>
    <row r="2" spans="1:16">
      <c r="A2" s="2" t="s">
        <v>28</v>
      </c>
      <c r="B2" s="3"/>
      <c r="C2" s="3"/>
      <c r="D2" s="3"/>
      <c r="E2" s="3"/>
      <c r="G2" s="2" t="s">
        <v>29</v>
      </c>
      <c r="H2" s="3"/>
      <c r="I2" s="3"/>
      <c r="J2" s="3"/>
    </row>
    <row r="3" spans="1:16">
      <c r="A3" s="2" t="s">
        <v>22</v>
      </c>
      <c r="B3" s="3"/>
      <c r="C3" s="3"/>
      <c r="D3" s="3"/>
      <c r="E3" s="3"/>
      <c r="G3" s="2" t="s">
        <v>23</v>
      </c>
      <c r="H3" s="3"/>
      <c r="I3" s="3"/>
      <c r="J3" s="3"/>
    </row>
    <row r="4" spans="1:16">
      <c r="A4" s="2" t="s">
        <v>30</v>
      </c>
      <c r="B4" s="3"/>
      <c r="C4" s="3"/>
      <c r="D4" s="3"/>
      <c r="E4" s="3"/>
      <c r="G4" s="2" t="s">
        <v>31</v>
      </c>
      <c r="H4" s="4"/>
      <c r="I4" s="4"/>
      <c r="J4" s="4"/>
    </row>
    <row r="5" spans="1:16">
      <c r="A5" s="5" t="s">
        <v>32</v>
      </c>
    </row>
    <row r="7" spans="1:16" ht="32" customHeight="1">
      <c r="A7" s="6" t="s">
        <v>33</v>
      </c>
      <c r="B7" s="6" t="s">
        <v>34</v>
      </c>
      <c r="C7" s="6" t="s">
        <v>35</v>
      </c>
      <c r="D7" s="6" t="s">
        <v>36</v>
      </c>
      <c r="E7" s="6" t="s">
        <v>0</v>
      </c>
      <c r="F7" s="6" t="s">
        <v>37</v>
      </c>
      <c r="G7" s="6" t="s">
        <v>38</v>
      </c>
      <c r="H7" s="6" t="s">
        <v>39</v>
      </c>
      <c r="I7" s="6" t="s">
        <v>40</v>
      </c>
      <c r="J7" s="6" t="s">
        <v>12</v>
      </c>
      <c r="K7" s="6" t="s">
        <v>41</v>
      </c>
      <c r="L7" s="6" t="s">
        <v>42</v>
      </c>
      <c r="M7" s="6" t="s">
        <v>21</v>
      </c>
      <c r="N7" s="6" t="s">
        <v>43</v>
      </c>
      <c r="O7" s="6" t="s">
        <v>44</v>
      </c>
      <c r="P7" s="6" t="s">
        <v>45</v>
      </c>
    </row>
    <row r="8" spans="1:16">
      <c r="A8" s="7" t="s">
        <v>46</v>
      </c>
      <c r="B8" s="7" t="s">
        <v>47</v>
      </c>
      <c r="C8" s="7" t="s">
        <v>48</v>
      </c>
      <c r="D8" s="7" t="s">
        <v>49</v>
      </c>
      <c r="E8" s="7" t="s">
        <v>1</v>
      </c>
      <c r="F8" s="7" t="s">
        <v>23</v>
      </c>
      <c r="G8" s="8">
        <v>46083</v>
      </c>
      <c r="H8" s="8">
        <v>46077</v>
      </c>
      <c r="I8" s="8">
        <v>46087</v>
      </c>
      <c r="J8" s="7" t="s">
        <v>16</v>
      </c>
      <c r="K8" s="9">
        <f>IF(H8="","",IF(I8="",TODAY()-H8,I8-H8))</f>
        <v>10</v>
      </c>
      <c r="L8" s="10">
        <f>IF(AND(ISNUMBER(G8),H8="",TODAY()&gt;G8),"LATE","")</f>
        <v/>
      </c>
      <c r="M8" s="7" t="s">
        <v>22</v>
      </c>
      <c r="N8" s="7" t="s">
        <v>50</v>
      </c>
      <c r="O8" s="7" t="s">
        <v>51</v>
      </c>
      <c r="P8" s="7" t="s">
        <v>52</v>
      </c>
    </row>
    <row r="9" spans="1:16">
      <c r="A9" s="11"/>
      <c r="B9" s="11"/>
      <c r="C9" s="11"/>
      <c r="D9" s="11"/>
      <c r="E9" s="11"/>
      <c r="F9" s="11"/>
      <c r="G9" s="12"/>
      <c r="H9" s="12"/>
      <c r="I9" s="12"/>
      <c r="J9" s="11"/>
      <c r="K9" s="9">
        <f>IF(H9="","",IF(I9="",TODAY()-H9,I9-H9))</f>
        <v/>
      </c>
      <c r="L9" s="10">
        <f>IF(AND(ISNUMBER(G9),H9="",TODAY()&gt;G9),"LATE","")</f>
        <v/>
      </c>
      <c r="M9" s="11"/>
      <c r="N9" s="11"/>
      <c r="O9" s="11"/>
      <c r="P9" s="11"/>
    </row>
    <row r="10" spans="1:16">
      <c r="A10" s="11"/>
      <c r="B10" s="11"/>
      <c r="C10" s="11"/>
      <c r="D10" s="11"/>
      <c r="E10" s="11"/>
      <c r="F10" s="11"/>
      <c r="G10" s="12"/>
      <c r="H10" s="12"/>
      <c r="I10" s="12"/>
      <c r="J10" s="11"/>
      <c r="K10" s="9">
        <f>IF(H10="","",IF(I10="",TODAY()-H10,I10-H10))</f>
        <v/>
      </c>
      <c r="L10" s="10">
        <f>IF(AND(ISNUMBER(G10),H10="",TODAY()&gt;G10),"LATE","")</f>
        <v/>
      </c>
      <c r="M10" s="11"/>
      <c r="N10" s="11"/>
      <c r="O10" s="11"/>
      <c r="P10" s="11"/>
    </row>
    <row r="11" spans="1:16">
      <c r="A11" s="11"/>
      <c r="B11" s="11"/>
      <c r="C11" s="11"/>
      <c r="D11" s="11"/>
      <c r="E11" s="11"/>
      <c r="F11" s="11"/>
      <c r="G11" s="12"/>
      <c r="H11" s="12"/>
      <c r="I11" s="12"/>
      <c r="J11" s="11"/>
      <c r="K11" s="9">
        <f>IF(H11="","",IF(I11="",TODAY()-H11,I11-H11))</f>
        <v/>
      </c>
      <c r="L11" s="10">
        <f>IF(AND(ISNUMBER(G11),H11="",TODAY()&gt;G11),"LATE","")</f>
        <v/>
      </c>
      <c r="M11" s="11"/>
      <c r="N11" s="11"/>
      <c r="O11" s="11"/>
      <c r="P11" s="11"/>
    </row>
    <row r="12" spans="1:16">
      <c r="A12" s="11"/>
      <c r="B12" s="11"/>
      <c r="C12" s="11"/>
      <c r="D12" s="11"/>
      <c r="E12" s="11"/>
      <c r="F12" s="11"/>
      <c r="G12" s="12"/>
      <c r="H12" s="12"/>
      <c r="I12" s="12"/>
      <c r="J12" s="11"/>
      <c r="K12" s="9">
        <f>IF(H12="","",IF(I12="",TODAY()-H12,I12-H12))</f>
        <v/>
      </c>
      <c r="L12" s="10">
        <f>IF(AND(ISNUMBER(G12),H12="",TODAY()&gt;G12),"LATE","")</f>
        <v/>
      </c>
      <c r="M12" s="11"/>
      <c r="N12" s="11"/>
      <c r="O12" s="11"/>
      <c r="P12" s="11"/>
    </row>
    <row r="13" spans="1:16">
      <c r="A13" s="11"/>
      <c r="B13" s="11"/>
      <c r="C13" s="11"/>
      <c r="D13" s="11"/>
      <c r="E13" s="11"/>
      <c r="F13" s="11"/>
      <c r="G13" s="12"/>
      <c r="H13" s="12"/>
      <c r="I13" s="12"/>
      <c r="J13" s="11"/>
      <c r="K13" s="9">
        <f>IF(H13="","",IF(I13="",TODAY()-H13,I13-H13))</f>
        <v/>
      </c>
      <c r="L13" s="10">
        <f>IF(AND(ISNUMBER(G13),H13="",TODAY()&gt;G13),"LATE","")</f>
        <v/>
      </c>
      <c r="M13" s="11"/>
      <c r="N13" s="11"/>
      <c r="O13" s="11"/>
      <c r="P13" s="11"/>
    </row>
    <row r="14" spans="1:16">
      <c r="A14" s="11"/>
      <c r="B14" s="11"/>
      <c r="C14" s="11"/>
      <c r="D14" s="11"/>
      <c r="E14" s="11"/>
      <c r="F14" s="11"/>
      <c r="G14" s="12"/>
      <c r="H14" s="12"/>
      <c r="I14" s="12"/>
      <c r="J14" s="11"/>
      <c r="K14" s="9">
        <f>IF(H14="","",IF(I14="",TODAY()-H14,I14-H14))</f>
        <v/>
      </c>
      <c r="L14" s="10">
        <f>IF(AND(ISNUMBER(G14),H14="",TODAY()&gt;G14),"LATE","")</f>
        <v/>
      </c>
      <c r="M14" s="11"/>
      <c r="N14" s="11"/>
      <c r="O14" s="11"/>
      <c r="P14" s="11"/>
    </row>
    <row r="15" spans="1:16">
      <c r="A15" s="11"/>
      <c r="B15" s="11"/>
      <c r="C15" s="11"/>
      <c r="D15" s="11"/>
      <c r="E15" s="11"/>
      <c r="F15" s="11"/>
      <c r="G15" s="12"/>
      <c r="H15" s="12"/>
      <c r="I15" s="12"/>
      <c r="J15" s="11"/>
      <c r="K15" s="9">
        <f>IF(H15="","",IF(I15="",TODAY()-H15,I15-H15))</f>
        <v/>
      </c>
      <c r="L15" s="10">
        <f>IF(AND(ISNUMBER(G15),H15="",TODAY()&gt;G15),"LATE","")</f>
        <v/>
      </c>
      <c r="M15" s="11"/>
      <c r="N15" s="11"/>
      <c r="O15" s="11"/>
      <c r="P15" s="11"/>
    </row>
    <row r="16" spans="1:16">
      <c r="A16" s="11"/>
      <c r="B16" s="11"/>
      <c r="C16" s="11"/>
      <c r="D16" s="11"/>
      <c r="E16" s="11"/>
      <c r="F16" s="11"/>
      <c r="G16" s="12"/>
      <c r="H16" s="12"/>
      <c r="I16" s="12"/>
      <c r="J16" s="11"/>
      <c r="K16" s="9">
        <f>IF(H16="","",IF(I16="",TODAY()-H16,I16-H16))</f>
        <v/>
      </c>
      <c r="L16" s="10">
        <f>IF(AND(ISNUMBER(G16),H16="",TODAY()&gt;G16),"LATE","")</f>
        <v/>
      </c>
      <c r="M16" s="11"/>
      <c r="N16" s="11"/>
      <c r="O16" s="11"/>
      <c r="P16" s="11"/>
    </row>
    <row r="17" spans="1:16">
      <c r="A17" s="11"/>
      <c r="B17" s="11"/>
      <c r="C17" s="11"/>
      <c r="D17" s="11"/>
      <c r="E17" s="11"/>
      <c r="F17" s="11"/>
      <c r="G17" s="12"/>
      <c r="H17" s="12"/>
      <c r="I17" s="12"/>
      <c r="J17" s="11"/>
      <c r="K17" s="9">
        <f>IF(H17="","",IF(I17="",TODAY()-H17,I17-H17))</f>
        <v/>
      </c>
      <c r="L17" s="10">
        <f>IF(AND(ISNUMBER(G17),H17="",TODAY()&gt;G17),"LATE","")</f>
        <v/>
      </c>
      <c r="M17" s="11"/>
      <c r="N17" s="11"/>
      <c r="O17" s="11"/>
      <c r="P17" s="11"/>
    </row>
    <row r="18" spans="1:16">
      <c r="A18" s="11"/>
      <c r="B18" s="11"/>
      <c r="C18" s="11"/>
      <c r="D18" s="11"/>
      <c r="E18" s="11"/>
      <c r="F18" s="11"/>
      <c r="G18" s="12"/>
      <c r="H18" s="12"/>
      <c r="I18" s="12"/>
      <c r="J18" s="11"/>
      <c r="K18" s="9">
        <f>IF(H18="","",IF(I18="",TODAY()-H18,I18-H18))</f>
        <v/>
      </c>
      <c r="L18" s="10">
        <f>IF(AND(ISNUMBER(G18),H18="",TODAY()&gt;G18),"LATE","")</f>
        <v/>
      </c>
      <c r="M18" s="11"/>
      <c r="N18" s="11"/>
      <c r="O18" s="11"/>
      <c r="P18" s="11"/>
    </row>
    <row r="19" spans="1:16">
      <c r="A19" s="11"/>
      <c r="B19" s="11"/>
      <c r="C19" s="11"/>
      <c r="D19" s="11"/>
      <c r="E19" s="11"/>
      <c r="F19" s="11"/>
      <c r="G19" s="12"/>
      <c r="H19" s="12"/>
      <c r="I19" s="12"/>
      <c r="J19" s="11"/>
      <c r="K19" s="9">
        <f>IF(H19="","",IF(I19="",TODAY()-H19,I19-H19))</f>
        <v/>
      </c>
      <c r="L19" s="10">
        <f>IF(AND(ISNUMBER(G19),H19="",TODAY()&gt;G19),"LATE","")</f>
        <v/>
      </c>
      <c r="M19" s="11"/>
      <c r="N19" s="11"/>
      <c r="O19" s="11"/>
      <c r="P19" s="11"/>
    </row>
    <row r="20" spans="1:16">
      <c r="A20" s="11"/>
      <c r="B20" s="11"/>
      <c r="C20" s="11"/>
      <c r="D20" s="11"/>
      <c r="E20" s="11"/>
      <c r="F20" s="11"/>
      <c r="G20" s="12"/>
      <c r="H20" s="12"/>
      <c r="I20" s="12"/>
      <c r="J20" s="11"/>
      <c r="K20" s="9">
        <f>IF(H20="","",IF(I20="",TODAY()-H20,I20-H20))</f>
        <v/>
      </c>
      <c r="L20" s="10">
        <f>IF(AND(ISNUMBER(G20),H20="",TODAY()&gt;G20),"LATE","")</f>
        <v/>
      </c>
      <c r="M20" s="11"/>
      <c r="N20" s="11"/>
      <c r="O20" s="11"/>
      <c r="P20" s="11"/>
    </row>
    <row r="21" spans="1:16">
      <c r="A21" s="11"/>
      <c r="B21" s="11"/>
      <c r="C21" s="11"/>
      <c r="D21" s="11"/>
      <c r="E21" s="11"/>
      <c r="F21" s="11"/>
      <c r="G21" s="12"/>
      <c r="H21" s="12"/>
      <c r="I21" s="12"/>
      <c r="J21" s="11"/>
      <c r="K21" s="9">
        <f>IF(H21="","",IF(I21="",TODAY()-H21,I21-H21))</f>
        <v/>
      </c>
      <c r="L21" s="10">
        <f>IF(AND(ISNUMBER(G21),H21="",TODAY()&gt;G21),"LATE","")</f>
        <v/>
      </c>
      <c r="M21" s="11"/>
      <c r="N21" s="11"/>
      <c r="O21" s="11"/>
      <c r="P21" s="11"/>
    </row>
    <row r="22" spans="1:16">
      <c r="A22" s="11"/>
      <c r="B22" s="11"/>
      <c r="C22" s="11"/>
      <c r="D22" s="11"/>
      <c r="E22" s="11"/>
      <c r="F22" s="11"/>
      <c r="G22" s="12"/>
      <c r="H22" s="12"/>
      <c r="I22" s="12"/>
      <c r="J22" s="11"/>
      <c r="K22" s="9">
        <f>IF(H22="","",IF(I22="",TODAY()-H22,I22-H22))</f>
        <v/>
      </c>
      <c r="L22" s="10">
        <f>IF(AND(ISNUMBER(G22),H22="",TODAY()&gt;G22),"LATE","")</f>
        <v/>
      </c>
      <c r="M22" s="11"/>
      <c r="N22" s="11"/>
      <c r="O22" s="11"/>
      <c r="P22" s="11"/>
    </row>
    <row r="23" spans="1:16">
      <c r="A23" s="11"/>
      <c r="B23" s="11"/>
      <c r="C23" s="11"/>
      <c r="D23" s="11"/>
      <c r="E23" s="11"/>
      <c r="F23" s="11"/>
      <c r="G23" s="12"/>
      <c r="H23" s="12"/>
      <c r="I23" s="12"/>
      <c r="J23" s="11"/>
      <c r="K23" s="9">
        <f>IF(H23="","",IF(I23="",TODAY()-H23,I23-H23))</f>
        <v/>
      </c>
      <c r="L23" s="10">
        <f>IF(AND(ISNUMBER(G23),H23="",TODAY()&gt;G23),"LATE","")</f>
        <v/>
      </c>
      <c r="M23" s="11"/>
      <c r="N23" s="11"/>
      <c r="O23" s="11"/>
      <c r="P23" s="11"/>
    </row>
    <row r="24" spans="1:16">
      <c r="A24" s="11"/>
      <c r="B24" s="11"/>
      <c r="C24" s="11"/>
      <c r="D24" s="11"/>
      <c r="E24" s="11"/>
      <c r="F24" s="11"/>
      <c r="G24" s="12"/>
      <c r="H24" s="12"/>
      <c r="I24" s="12"/>
      <c r="J24" s="11"/>
      <c r="K24" s="9">
        <f>IF(H24="","",IF(I24="",TODAY()-H24,I24-H24))</f>
        <v/>
      </c>
      <c r="L24" s="10">
        <f>IF(AND(ISNUMBER(G24),H24="",TODAY()&gt;G24),"LATE","")</f>
        <v/>
      </c>
      <c r="M24" s="11"/>
      <c r="N24" s="11"/>
      <c r="O24" s="11"/>
      <c r="P24" s="11"/>
    </row>
    <row r="25" spans="1:16">
      <c r="A25" s="11"/>
      <c r="B25" s="11"/>
      <c r="C25" s="11"/>
      <c r="D25" s="11"/>
      <c r="E25" s="11"/>
      <c r="F25" s="11"/>
      <c r="G25" s="12"/>
      <c r="H25" s="12"/>
      <c r="I25" s="12"/>
      <c r="J25" s="11"/>
      <c r="K25" s="9">
        <f>IF(H25="","",IF(I25="",TODAY()-H25,I25-H25))</f>
        <v/>
      </c>
      <c r="L25" s="10">
        <f>IF(AND(ISNUMBER(G25),H25="",TODAY()&gt;G25),"LATE","")</f>
        <v/>
      </c>
      <c r="M25" s="11"/>
      <c r="N25" s="11"/>
      <c r="O25" s="11"/>
      <c r="P25" s="11"/>
    </row>
    <row r="26" spans="1:16">
      <c r="A26" s="11"/>
      <c r="B26" s="11"/>
      <c r="C26" s="11"/>
      <c r="D26" s="11"/>
      <c r="E26" s="11"/>
      <c r="F26" s="11"/>
      <c r="G26" s="12"/>
      <c r="H26" s="12"/>
      <c r="I26" s="12"/>
      <c r="J26" s="11"/>
      <c r="K26" s="9">
        <f>IF(H26="","",IF(I26="",TODAY()-H26,I26-H26))</f>
        <v/>
      </c>
      <c r="L26" s="10">
        <f>IF(AND(ISNUMBER(G26),H26="",TODAY()&gt;G26),"LATE","")</f>
        <v/>
      </c>
      <c r="M26" s="11"/>
      <c r="N26" s="11"/>
      <c r="O26" s="11"/>
      <c r="P26" s="11"/>
    </row>
    <row r="27" spans="1:16">
      <c r="A27" s="11"/>
      <c r="B27" s="11"/>
      <c r="C27" s="11"/>
      <c r="D27" s="11"/>
      <c r="E27" s="11"/>
      <c r="F27" s="11"/>
      <c r="G27" s="12"/>
      <c r="H27" s="12"/>
      <c r="I27" s="12"/>
      <c r="J27" s="11"/>
      <c r="K27" s="9">
        <f>IF(H27="","",IF(I27="",TODAY()-H27,I27-H27))</f>
        <v/>
      </c>
      <c r="L27" s="10">
        <f>IF(AND(ISNUMBER(G27),H27="",TODAY()&gt;G27),"LATE","")</f>
        <v/>
      </c>
      <c r="M27" s="11"/>
      <c r="N27" s="11"/>
      <c r="O27" s="11"/>
      <c r="P27" s="11"/>
    </row>
    <row r="28" spans="1:16">
      <c r="A28" s="11"/>
      <c r="B28" s="11"/>
      <c r="C28" s="11"/>
      <c r="D28" s="11"/>
      <c r="E28" s="11"/>
      <c r="F28" s="11"/>
      <c r="G28" s="12"/>
      <c r="H28" s="12"/>
      <c r="I28" s="12"/>
      <c r="J28" s="11"/>
      <c r="K28" s="9">
        <f>IF(H28="","",IF(I28="",TODAY()-H28,I28-H28))</f>
        <v/>
      </c>
      <c r="L28" s="10">
        <f>IF(AND(ISNUMBER(G28),H28="",TODAY()&gt;G28),"LATE","")</f>
        <v/>
      </c>
      <c r="M28" s="11"/>
      <c r="N28" s="11"/>
      <c r="O28" s="11"/>
      <c r="P28" s="11"/>
    </row>
    <row r="29" spans="1:16">
      <c r="A29" s="11"/>
      <c r="B29" s="11"/>
      <c r="C29" s="11"/>
      <c r="D29" s="11"/>
      <c r="E29" s="11"/>
      <c r="F29" s="11"/>
      <c r="G29" s="12"/>
      <c r="H29" s="12"/>
      <c r="I29" s="12"/>
      <c r="J29" s="11"/>
      <c r="K29" s="9">
        <f>IF(H29="","",IF(I29="",TODAY()-H29,I29-H29))</f>
        <v/>
      </c>
      <c r="L29" s="10">
        <f>IF(AND(ISNUMBER(G29),H29="",TODAY()&gt;G29),"LATE","")</f>
        <v/>
      </c>
      <c r="M29" s="11"/>
      <c r="N29" s="11"/>
      <c r="O29" s="11"/>
      <c r="P29" s="11"/>
    </row>
    <row r="30" spans="1:16">
      <c r="A30" s="11"/>
      <c r="B30" s="11"/>
      <c r="C30" s="11"/>
      <c r="D30" s="11"/>
      <c r="E30" s="11"/>
      <c r="F30" s="11"/>
      <c r="G30" s="12"/>
      <c r="H30" s="12"/>
      <c r="I30" s="12"/>
      <c r="J30" s="11"/>
      <c r="K30" s="9">
        <f>IF(H30="","",IF(I30="",TODAY()-H30,I30-H30))</f>
        <v/>
      </c>
      <c r="L30" s="10">
        <f>IF(AND(ISNUMBER(G30),H30="",TODAY()&gt;G30),"LATE","")</f>
        <v/>
      </c>
      <c r="M30" s="11"/>
      <c r="N30" s="11"/>
      <c r="O30" s="11"/>
      <c r="P30" s="11"/>
    </row>
    <row r="31" spans="1:16">
      <c r="A31" s="11"/>
      <c r="B31" s="11"/>
      <c r="C31" s="11"/>
      <c r="D31" s="11"/>
      <c r="E31" s="11"/>
      <c r="F31" s="11"/>
      <c r="G31" s="12"/>
      <c r="H31" s="12"/>
      <c r="I31" s="12"/>
      <c r="J31" s="11"/>
      <c r="K31" s="9">
        <f>IF(H31="","",IF(I31="",TODAY()-H31,I31-H31))</f>
        <v/>
      </c>
      <c r="L31" s="10">
        <f>IF(AND(ISNUMBER(G31),H31="",TODAY()&gt;G31),"LATE","")</f>
        <v/>
      </c>
      <c r="M31" s="11"/>
      <c r="N31" s="11"/>
      <c r="O31" s="11"/>
      <c r="P31" s="11"/>
    </row>
    <row r="32" spans="1:16">
      <c r="A32" s="11"/>
      <c r="B32" s="11"/>
      <c r="C32" s="11"/>
      <c r="D32" s="11"/>
      <c r="E32" s="11"/>
      <c r="F32" s="11"/>
      <c r="G32" s="12"/>
      <c r="H32" s="12"/>
      <c r="I32" s="12"/>
      <c r="J32" s="11"/>
      <c r="K32" s="9">
        <f>IF(H32="","",IF(I32="",TODAY()-H32,I32-H32))</f>
        <v/>
      </c>
      <c r="L32" s="10">
        <f>IF(AND(ISNUMBER(G32),H32="",TODAY()&gt;G32),"LATE","")</f>
        <v/>
      </c>
      <c r="M32" s="11"/>
      <c r="N32" s="11"/>
      <c r="O32" s="11"/>
      <c r="P32" s="11"/>
    </row>
    <row r="33" spans="1:16">
      <c r="A33" s="11"/>
      <c r="B33" s="11"/>
      <c r="C33" s="11"/>
      <c r="D33" s="11"/>
      <c r="E33" s="11"/>
      <c r="F33" s="11"/>
      <c r="G33" s="12"/>
      <c r="H33" s="12"/>
      <c r="I33" s="12"/>
      <c r="J33" s="11"/>
      <c r="K33" s="9">
        <f>IF(H33="","",IF(I33="",TODAY()-H33,I33-H33))</f>
        <v/>
      </c>
      <c r="L33" s="10">
        <f>IF(AND(ISNUMBER(G33),H33="",TODAY()&gt;G33),"LATE","")</f>
        <v/>
      </c>
      <c r="M33" s="11"/>
      <c r="N33" s="11"/>
      <c r="O33" s="11"/>
      <c r="P33" s="11"/>
    </row>
    <row r="34" spans="1:16">
      <c r="A34" s="11"/>
      <c r="B34" s="11"/>
      <c r="C34" s="11"/>
      <c r="D34" s="11"/>
      <c r="E34" s="11"/>
      <c r="F34" s="11"/>
      <c r="G34" s="12"/>
      <c r="H34" s="12"/>
      <c r="I34" s="12"/>
      <c r="J34" s="11"/>
      <c r="K34" s="9">
        <f>IF(H34="","",IF(I34="",TODAY()-H34,I34-H34))</f>
        <v/>
      </c>
      <c r="L34" s="10">
        <f>IF(AND(ISNUMBER(G34),H34="",TODAY()&gt;G34),"LATE","")</f>
        <v/>
      </c>
      <c r="M34" s="11"/>
      <c r="N34" s="11"/>
      <c r="O34" s="11"/>
      <c r="P34" s="11"/>
    </row>
    <row r="35" spans="1:16">
      <c r="A35" s="11"/>
      <c r="B35" s="11"/>
      <c r="C35" s="11"/>
      <c r="D35" s="11"/>
      <c r="E35" s="11"/>
      <c r="F35" s="11"/>
      <c r="G35" s="12"/>
      <c r="H35" s="12"/>
      <c r="I35" s="12"/>
      <c r="J35" s="11"/>
      <c r="K35" s="9">
        <f>IF(H35="","",IF(I35="",TODAY()-H35,I35-H35))</f>
        <v/>
      </c>
      <c r="L35" s="10">
        <f>IF(AND(ISNUMBER(G35),H35="",TODAY()&gt;G35),"LATE","")</f>
        <v/>
      </c>
      <c r="M35" s="11"/>
      <c r="N35" s="11"/>
      <c r="O35" s="11"/>
      <c r="P35" s="11"/>
    </row>
    <row r="36" spans="1:16">
      <c r="A36" s="11"/>
      <c r="B36" s="11"/>
      <c r="C36" s="11"/>
      <c r="D36" s="11"/>
      <c r="E36" s="11"/>
      <c r="F36" s="11"/>
      <c r="G36" s="12"/>
      <c r="H36" s="12"/>
      <c r="I36" s="12"/>
      <c r="J36" s="11"/>
      <c r="K36" s="9">
        <f>IF(H36="","",IF(I36="",TODAY()-H36,I36-H36))</f>
        <v/>
      </c>
      <c r="L36" s="10">
        <f>IF(AND(ISNUMBER(G36),H36="",TODAY()&gt;G36),"LATE","")</f>
        <v/>
      </c>
      <c r="M36" s="11"/>
      <c r="N36" s="11"/>
      <c r="O36" s="11"/>
      <c r="P36" s="11"/>
    </row>
    <row r="37" spans="1:16">
      <c r="A37" s="11"/>
      <c r="B37" s="11"/>
      <c r="C37" s="11"/>
      <c r="D37" s="11"/>
      <c r="E37" s="11"/>
      <c r="F37" s="11"/>
      <c r="G37" s="12"/>
      <c r="H37" s="12"/>
      <c r="I37" s="12"/>
      <c r="J37" s="11"/>
      <c r="K37" s="9">
        <f>IF(H37="","",IF(I37="",TODAY()-H37,I37-H37))</f>
        <v/>
      </c>
      <c r="L37" s="10">
        <f>IF(AND(ISNUMBER(G37),H37="",TODAY()&gt;G37),"LATE","")</f>
        <v/>
      </c>
      <c r="M37" s="11"/>
      <c r="N37" s="11"/>
      <c r="O37" s="11"/>
      <c r="P37" s="11"/>
    </row>
    <row r="38" spans="1:16">
      <c r="A38" s="11"/>
      <c r="B38" s="11"/>
      <c r="C38" s="11"/>
      <c r="D38" s="11"/>
      <c r="E38" s="11"/>
      <c r="F38" s="11"/>
      <c r="G38" s="12"/>
      <c r="H38" s="12"/>
      <c r="I38" s="12"/>
      <c r="J38" s="11"/>
      <c r="K38" s="9">
        <f>IF(H38="","",IF(I38="",TODAY()-H38,I38-H38))</f>
        <v/>
      </c>
      <c r="L38" s="10">
        <f>IF(AND(ISNUMBER(G38),H38="",TODAY()&gt;G38),"LATE","")</f>
        <v/>
      </c>
      <c r="M38" s="11"/>
      <c r="N38" s="11"/>
      <c r="O38" s="11"/>
      <c r="P38" s="11"/>
    </row>
    <row r="39" spans="1:16">
      <c r="A39" s="11"/>
      <c r="B39" s="11"/>
      <c r="C39" s="11"/>
      <c r="D39" s="11"/>
      <c r="E39" s="11"/>
      <c r="F39" s="11"/>
      <c r="G39" s="12"/>
      <c r="H39" s="12"/>
      <c r="I39" s="12"/>
      <c r="J39" s="11"/>
      <c r="K39" s="9">
        <f>IF(H39="","",IF(I39="",TODAY()-H39,I39-H39))</f>
        <v/>
      </c>
      <c r="L39" s="10">
        <f>IF(AND(ISNUMBER(G39),H39="",TODAY()&gt;G39),"LATE","")</f>
        <v/>
      </c>
      <c r="M39" s="11"/>
      <c r="N39" s="11"/>
      <c r="O39" s="11"/>
      <c r="P39" s="11"/>
    </row>
    <row r="40" spans="1:16">
      <c r="A40" s="11"/>
      <c r="B40" s="11"/>
      <c r="C40" s="11"/>
      <c r="D40" s="11"/>
      <c r="E40" s="11"/>
      <c r="F40" s="11"/>
      <c r="G40" s="12"/>
      <c r="H40" s="12"/>
      <c r="I40" s="12"/>
      <c r="J40" s="11"/>
      <c r="K40" s="9">
        <f>IF(H40="","",IF(I40="",TODAY()-H40,I40-H40))</f>
        <v/>
      </c>
      <c r="L40" s="10">
        <f>IF(AND(ISNUMBER(G40),H40="",TODAY()&gt;G40),"LATE","")</f>
        <v/>
      </c>
      <c r="M40" s="11"/>
      <c r="N40" s="11"/>
      <c r="O40" s="11"/>
      <c r="P40" s="11"/>
    </row>
    <row r="41" spans="1:16">
      <c r="A41" s="11"/>
      <c r="B41" s="11"/>
      <c r="C41" s="11"/>
      <c r="D41" s="11"/>
      <c r="E41" s="11"/>
      <c r="F41" s="11"/>
      <c r="G41" s="12"/>
      <c r="H41" s="12"/>
      <c r="I41" s="12"/>
      <c r="J41" s="11"/>
      <c r="K41" s="9">
        <f>IF(H41="","",IF(I41="",TODAY()-H41,I41-H41))</f>
        <v/>
      </c>
      <c r="L41" s="10">
        <f>IF(AND(ISNUMBER(G41),H41="",TODAY()&gt;G41),"LATE","")</f>
        <v/>
      </c>
      <c r="M41" s="11"/>
      <c r="N41" s="11"/>
      <c r="O41" s="11"/>
      <c r="P41" s="11"/>
    </row>
    <row r="42" spans="1:16">
      <c r="A42" s="11"/>
      <c r="B42" s="11"/>
      <c r="C42" s="11"/>
      <c r="D42" s="11"/>
      <c r="E42" s="11"/>
      <c r="F42" s="11"/>
      <c r="G42" s="12"/>
      <c r="H42" s="12"/>
      <c r="I42" s="12"/>
      <c r="J42" s="11"/>
      <c r="K42" s="9">
        <f>IF(H42="","",IF(I42="",TODAY()-H42,I42-H42))</f>
        <v/>
      </c>
      <c r="L42" s="10">
        <f>IF(AND(ISNUMBER(G42),H42="",TODAY()&gt;G42),"LATE","")</f>
        <v/>
      </c>
      <c r="M42" s="11"/>
      <c r="N42" s="11"/>
      <c r="O42" s="11"/>
      <c r="P42" s="11"/>
    </row>
    <row r="43" spans="1:16">
      <c r="A43" s="11"/>
      <c r="B43" s="11"/>
      <c r="C43" s="11"/>
      <c r="D43" s="11"/>
      <c r="E43" s="11"/>
      <c r="F43" s="11"/>
      <c r="G43" s="12"/>
      <c r="H43" s="12"/>
      <c r="I43" s="12"/>
      <c r="J43" s="11"/>
      <c r="K43" s="9">
        <f>IF(H43="","",IF(I43="",TODAY()-H43,I43-H43))</f>
        <v/>
      </c>
      <c r="L43" s="10">
        <f>IF(AND(ISNUMBER(G43),H43="",TODAY()&gt;G43),"LATE","")</f>
        <v/>
      </c>
      <c r="M43" s="11"/>
      <c r="N43" s="11"/>
      <c r="O43" s="11"/>
      <c r="P43" s="11"/>
    </row>
    <row r="44" spans="1:16">
      <c r="A44" s="11"/>
      <c r="B44" s="11"/>
      <c r="C44" s="11"/>
      <c r="D44" s="11"/>
      <c r="E44" s="11"/>
      <c r="F44" s="11"/>
      <c r="G44" s="12"/>
      <c r="H44" s="12"/>
      <c r="I44" s="12"/>
      <c r="J44" s="11"/>
      <c r="K44" s="9">
        <f>IF(H44="","",IF(I44="",TODAY()-H44,I44-H44))</f>
        <v/>
      </c>
      <c r="L44" s="10">
        <f>IF(AND(ISNUMBER(G44),H44="",TODAY()&gt;G44),"LATE","")</f>
        <v/>
      </c>
      <c r="M44" s="11"/>
      <c r="N44" s="11"/>
      <c r="O44" s="11"/>
      <c r="P44" s="11"/>
    </row>
    <row r="45" spans="1:16">
      <c r="A45" s="11"/>
      <c r="B45" s="11"/>
      <c r="C45" s="11"/>
      <c r="D45" s="11"/>
      <c r="E45" s="11"/>
      <c r="F45" s="11"/>
      <c r="G45" s="12"/>
      <c r="H45" s="12"/>
      <c r="I45" s="12"/>
      <c r="J45" s="11"/>
      <c r="K45" s="9">
        <f>IF(H45="","",IF(I45="",TODAY()-H45,I45-H45))</f>
        <v/>
      </c>
      <c r="L45" s="10">
        <f>IF(AND(ISNUMBER(G45),H45="",TODAY()&gt;G45),"LATE","")</f>
        <v/>
      </c>
      <c r="M45" s="11"/>
      <c r="N45" s="11"/>
      <c r="O45" s="11"/>
      <c r="P45" s="11"/>
    </row>
    <row r="46" spans="1:16">
      <c r="A46" s="11"/>
      <c r="B46" s="11"/>
      <c r="C46" s="11"/>
      <c r="D46" s="11"/>
      <c r="E46" s="11"/>
      <c r="F46" s="11"/>
      <c r="G46" s="12"/>
      <c r="H46" s="12"/>
      <c r="I46" s="12"/>
      <c r="J46" s="11"/>
      <c r="K46" s="9">
        <f>IF(H46="","",IF(I46="",TODAY()-H46,I46-H46))</f>
        <v/>
      </c>
      <c r="L46" s="10">
        <f>IF(AND(ISNUMBER(G46),H46="",TODAY()&gt;G46),"LATE","")</f>
        <v/>
      </c>
      <c r="M46" s="11"/>
      <c r="N46" s="11"/>
      <c r="O46" s="11"/>
      <c r="P46" s="11"/>
    </row>
    <row r="47" spans="1:16">
      <c r="A47" s="11"/>
      <c r="B47" s="11"/>
      <c r="C47" s="11"/>
      <c r="D47" s="11"/>
      <c r="E47" s="11"/>
      <c r="F47" s="11"/>
      <c r="G47" s="12"/>
      <c r="H47" s="12"/>
      <c r="I47" s="12"/>
      <c r="J47" s="11"/>
      <c r="K47" s="9">
        <f>IF(H47="","",IF(I47="",TODAY()-H47,I47-H47))</f>
        <v/>
      </c>
      <c r="L47" s="10">
        <f>IF(AND(ISNUMBER(G47),H47="",TODAY()&gt;G47),"LATE","")</f>
        <v/>
      </c>
      <c r="M47" s="11"/>
      <c r="N47" s="11"/>
      <c r="O47" s="11"/>
      <c r="P47" s="11"/>
    </row>
    <row r="48" spans="1:16">
      <c r="A48" s="11"/>
      <c r="B48" s="11"/>
      <c r="C48" s="11"/>
      <c r="D48" s="11"/>
      <c r="E48" s="11"/>
      <c r="F48" s="11"/>
      <c r="G48" s="12"/>
      <c r="H48" s="12"/>
      <c r="I48" s="12"/>
      <c r="J48" s="11"/>
      <c r="K48" s="9">
        <f>IF(H48="","",IF(I48="",TODAY()-H48,I48-H48))</f>
        <v/>
      </c>
      <c r="L48" s="10">
        <f>IF(AND(ISNUMBER(G48),H48="",TODAY()&gt;G48),"LATE","")</f>
        <v/>
      </c>
      <c r="M48" s="11"/>
      <c r="N48" s="11"/>
      <c r="O48" s="11"/>
      <c r="P48" s="11"/>
    </row>
    <row r="49" spans="1:16">
      <c r="A49" s="11"/>
      <c r="B49" s="11"/>
      <c r="C49" s="11"/>
      <c r="D49" s="11"/>
      <c r="E49" s="11"/>
      <c r="F49" s="11"/>
      <c r="G49" s="12"/>
      <c r="H49" s="12"/>
      <c r="I49" s="12"/>
      <c r="J49" s="11"/>
      <c r="K49" s="9">
        <f>IF(H49="","",IF(I49="",TODAY()-H49,I49-H49))</f>
        <v/>
      </c>
      <c r="L49" s="10">
        <f>IF(AND(ISNUMBER(G49),H49="",TODAY()&gt;G49),"LATE","")</f>
        <v/>
      </c>
      <c r="M49" s="11"/>
      <c r="N49" s="11"/>
      <c r="O49" s="11"/>
      <c r="P49" s="11"/>
    </row>
    <row r="50" spans="1:16">
      <c r="A50" s="11"/>
      <c r="B50" s="11"/>
      <c r="C50" s="11"/>
      <c r="D50" s="11"/>
      <c r="E50" s="11"/>
      <c r="F50" s="11"/>
      <c r="G50" s="12"/>
      <c r="H50" s="12"/>
      <c r="I50" s="12"/>
      <c r="J50" s="11"/>
      <c r="K50" s="9">
        <f>IF(H50="","",IF(I50="",TODAY()-H50,I50-H50))</f>
        <v/>
      </c>
      <c r="L50" s="10">
        <f>IF(AND(ISNUMBER(G50),H50="",TODAY()&gt;G50),"LATE","")</f>
        <v/>
      </c>
      <c r="M50" s="11"/>
      <c r="N50" s="11"/>
      <c r="O50" s="11"/>
      <c r="P50" s="11"/>
    </row>
    <row r="51" spans="1:16">
      <c r="A51" s="11"/>
      <c r="B51" s="11"/>
      <c r="C51" s="11"/>
      <c r="D51" s="11"/>
      <c r="E51" s="11"/>
      <c r="F51" s="11"/>
      <c r="G51" s="12"/>
      <c r="H51" s="12"/>
      <c r="I51" s="12"/>
      <c r="J51" s="11"/>
      <c r="K51" s="9">
        <f>IF(H51="","",IF(I51="",TODAY()-H51,I51-H51))</f>
        <v/>
      </c>
      <c r="L51" s="10">
        <f>IF(AND(ISNUMBER(G51),H51="",TODAY()&gt;G51),"LATE","")</f>
        <v/>
      </c>
      <c r="M51" s="11"/>
      <c r="N51" s="11"/>
      <c r="O51" s="11"/>
      <c r="P51" s="11"/>
    </row>
    <row r="52" spans="1:16">
      <c r="A52" s="11"/>
      <c r="B52" s="11"/>
      <c r="C52" s="11"/>
      <c r="D52" s="11"/>
      <c r="E52" s="11"/>
      <c r="F52" s="11"/>
      <c r="G52" s="12"/>
      <c r="H52" s="12"/>
      <c r="I52" s="12"/>
      <c r="J52" s="11"/>
      <c r="K52" s="9">
        <f>IF(H52="","",IF(I52="",TODAY()-H52,I52-H52))</f>
        <v/>
      </c>
      <c r="L52" s="10">
        <f>IF(AND(ISNUMBER(G52),H52="",TODAY()&gt;G52),"LATE","")</f>
        <v/>
      </c>
      <c r="M52" s="11"/>
      <c r="N52" s="11"/>
      <c r="O52" s="11"/>
      <c r="P52" s="11"/>
    </row>
    <row r="53" spans="1:16">
      <c r="A53" s="11"/>
      <c r="B53" s="11"/>
      <c r="C53" s="11"/>
      <c r="D53" s="11"/>
      <c r="E53" s="11"/>
      <c r="F53" s="11"/>
      <c r="G53" s="12"/>
      <c r="H53" s="12"/>
      <c r="I53" s="12"/>
      <c r="J53" s="11"/>
      <c r="K53" s="9">
        <f>IF(H53="","",IF(I53="",TODAY()-H53,I53-H53))</f>
        <v/>
      </c>
      <c r="L53" s="10">
        <f>IF(AND(ISNUMBER(G53),H53="",TODAY()&gt;G53),"LATE","")</f>
        <v/>
      </c>
      <c r="M53" s="11"/>
      <c r="N53" s="11"/>
      <c r="O53" s="11"/>
      <c r="P53" s="11"/>
    </row>
    <row r="54" spans="1:16">
      <c r="A54" s="11"/>
      <c r="B54" s="11"/>
      <c r="C54" s="11"/>
      <c r="D54" s="11"/>
      <c r="E54" s="11"/>
      <c r="F54" s="11"/>
      <c r="G54" s="12"/>
      <c r="H54" s="12"/>
      <c r="I54" s="12"/>
      <c r="J54" s="11"/>
      <c r="K54" s="9">
        <f>IF(H54="","",IF(I54="",TODAY()-H54,I54-H54))</f>
        <v/>
      </c>
      <c r="L54" s="10">
        <f>IF(AND(ISNUMBER(G54),H54="",TODAY()&gt;G54),"LATE","")</f>
        <v/>
      </c>
      <c r="M54" s="11"/>
      <c r="N54" s="11"/>
      <c r="O54" s="11"/>
      <c r="P54" s="11"/>
    </row>
    <row r="55" spans="1:16">
      <c r="A55" s="11"/>
      <c r="B55" s="11"/>
      <c r="C55" s="11"/>
      <c r="D55" s="11"/>
      <c r="E55" s="11"/>
      <c r="F55" s="11"/>
      <c r="G55" s="12"/>
      <c r="H55" s="12"/>
      <c r="I55" s="12"/>
      <c r="J55" s="11"/>
      <c r="K55" s="9">
        <f>IF(H55="","",IF(I55="",TODAY()-H55,I55-H55))</f>
        <v/>
      </c>
      <c r="L55" s="10">
        <f>IF(AND(ISNUMBER(G55),H55="",TODAY()&gt;G55),"LATE","")</f>
        <v/>
      </c>
      <c r="M55" s="11"/>
      <c r="N55" s="11"/>
      <c r="O55" s="11"/>
      <c r="P55" s="11"/>
    </row>
    <row r="56" spans="1:16">
      <c r="A56" s="11"/>
      <c r="B56" s="11"/>
      <c r="C56" s="11"/>
      <c r="D56" s="11"/>
      <c r="E56" s="11"/>
      <c r="F56" s="11"/>
      <c r="G56" s="12"/>
      <c r="H56" s="12"/>
      <c r="I56" s="12"/>
      <c r="J56" s="11"/>
      <c r="K56" s="9">
        <f>IF(H56="","",IF(I56="",TODAY()-H56,I56-H56))</f>
        <v/>
      </c>
      <c r="L56" s="10">
        <f>IF(AND(ISNUMBER(G56),H56="",TODAY()&gt;G56),"LATE","")</f>
        <v/>
      </c>
      <c r="M56" s="11"/>
      <c r="N56" s="11"/>
      <c r="O56" s="11"/>
      <c r="P56" s="11"/>
    </row>
    <row r="57" spans="1:16">
      <c r="A57" s="11"/>
      <c r="B57" s="11"/>
      <c r="C57" s="11"/>
      <c r="D57" s="11"/>
      <c r="E57" s="11"/>
      <c r="F57" s="11"/>
      <c r="G57" s="12"/>
      <c r="H57" s="12"/>
      <c r="I57" s="12"/>
      <c r="J57" s="11"/>
      <c r="K57" s="9">
        <f>IF(H57="","",IF(I57="",TODAY()-H57,I57-H57))</f>
        <v/>
      </c>
      <c r="L57" s="10">
        <f>IF(AND(ISNUMBER(G57),H57="",TODAY()&gt;G57),"LATE","")</f>
        <v/>
      </c>
      <c r="M57" s="11"/>
      <c r="N57" s="11"/>
      <c r="O57" s="11"/>
      <c r="P57" s="11"/>
    </row>
    <row r="58" spans="1:16">
      <c r="A58" s="11"/>
      <c r="B58" s="11"/>
      <c r="C58" s="11"/>
      <c r="D58" s="11"/>
      <c r="E58" s="11"/>
      <c r="F58" s="11"/>
      <c r="G58" s="12"/>
      <c r="H58" s="12"/>
      <c r="I58" s="12"/>
      <c r="J58" s="11"/>
      <c r="K58" s="9">
        <f>IF(H58="","",IF(I58="",TODAY()-H58,I58-H58))</f>
        <v/>
      </c>
      <c r="L58" s="10">
        <f>IF(AND(ISNUMBER(G58),H58="",TODAY()&gt;G58),"LATE","")</f>
        <v/>
      </c>
      <c r="M58" s="11"/>
      <c r="N58" s="11"/>
      <c r="O58" s="11"/>
      <c r="P58" s="11"/>
    </row>
    <row r="59" spans="1:16">
      <c r="A59" s="11"/>
      <c r="B59" s="11"/>
      <c r="C59" s="11"/>
      <c r="D59" s="11"/>
      <c r="E59" s="11"/>
      <c r="F59" s="11"/>
      <c r="G59" s="12"/>
      <c r="H59" s="12"/>
      <c r="I59" s="12"/>
      <c r="J59" s="11"/>
      <c r="K59" s="9">
        <f>IF(H59="","",IF(I59="",TODAY()-H59,I59-H59))</f>
        <v/>
      </c>
      <c r="L59" s="10">
        <f>IF(AND(ISNUMBER(G59),H59="",TODAY()&gt;G59),"LATE","")</f>
        <v/>
      </c>
      <c r="M59" s="11"/>
      <c r="N59" s="11"/>
      <c r="O59" s="11"/>
      <c r="P59" s="11"/>
    </row>
    <row r="60" spans="1:16">
      <c r="A60" s="11"/>
      <c r="B60" s="11"/>
      <c r="C60" s="11"/>
      <c r="D60" s="11"/>
      <c r="E60" s="11"/>
      <c r="F60" s="11"/>
      <c r="G60" s="12"/>
      <c r="H60" s="12"/>
      <c r="I60" s="12"/>
      <c r="J60" s="11"/>
      <c r="K60" s="9">
        <f>IF(H60="","",IF(I60="",TODAY()-H60,I60-H60))</f>
        <v/>
      </c>
      <c r="L60" s="10">
        <f>IF(AND(ISNUMBER(G60),H60="",TODAY()&gt;G60),"LATE","")</f>
        <v/>
      </c>
      <c r="M60" s="11"/>
      <c r="N60" s="11"/>
      <c r="O60" s="11"/>
      <c r="P60" s="11"/>
    </row>
    <row r="61" spans="1:16">
      <c r="A61" s="11"/>
      <c r="B61" s="11"/>
      <c r="C61" s="11"/>
      <c r="D61" s="11"/>
      <c r="E61" s="11"/>
      <c r="F61" s="11"/>
      <c r="G61" s="12"/>
      <c r="H61" s="12"/>
      <c r="I61" s="12"/>
      <c r="J61" s="11"/>
      <c r="K61" s="9">
        <f>IF(H61="","",IF(I61="",TODAY()-H61,I61-H61))</f>
        <v/>
      </c>
      <c r="L61" s="10">
        <f>IF(AND(ISNUMBER(G61),H61="",TODAY()&gt;G61),"LATE","")</f>
        <v/>
      </c>
      <c r="M61" s="11"/>
      <c r="N61" s="11"/>
      <c r="O61" s="11"/>
      <c r="P61" s="11"/>
    </row>
    <row r="62" spans="1:16">
      <c r="A62" s="11"/>
      <c r="B62" s="11"/>
      <c r="C62" s="11"/>
      <c r="D62" s="11"/>
      <c r="E62" s="11"/>
      <c r="F62" s="11"/>
      <c r="G62" s="12"/>
      <c r="H62" s="12"/>
      <c r="I62" s="12"/>
      <c r="J62" s="11"/>
      <c r="K62" s="9">
        <f>IF(H62="","",IF(I62="",TODAY()-H62,I62-H62))</f>
        <v/>
      </c>
      <c r="L62" s="10">
        <f>IF(AND(ISNUMBER(G62),H62="",TODAY()&gt;G62),"LATE","")</f>
        <v/>
      </c>
      <c r="M62" s="11"/>
      <c r="N62" s="11"/>
      <c r="O62" s="11"/>
      <c r="P62" s="11"/>
    </row>
    <row r="63" spans="1:16">
      <c r="A63" s="11"/>
      <c r="B63" s="11"/>
      <c r="C63" s="11"/>
      <c r="D63" s="11"/>
      <c r="E63" s="11"/>
      <c r="F63" s="11"/>
      <c r="G63" s="12"/>
      <c r="H63" s="12"/>
      <c r="I63" s="12"/>
      <c r="J63" s="11"/>
      <c r="K63" s="9">
        <f>IF(H63="","",IF(I63="",TODAY()-H63,I63-H63))</f>
        <v/>
      </c>
      <c r="L63" s="10">
        <f>IF(AND(ISNUMBER(G63),H63="",TODAY()&gt;G63),"LATE","")</f>
        <v/>
      </c>
      <c r="M63" s="11"/>
      <c r="N63" s="11"/>
      <c r="O63" s="11"/>
      <c r="P63" s="11"/>
    </row>
    <row r="64" spans="1:16">
      <c r="A64" s="11"/>
      <c r="B64" s="11"/>
      <c r="C64" s="11"/>
      <c r="D64" s="11"/>
      <c r="E64" s="11"/>
      <c r="F64" s="11"/>
      <c r="G64" s="12"/>
      <c r="H64" s="12"/>
      <c r="I64" s="12"/>
      <c r="J64" s="11"/>
      <c r="K64" s="9">
        <f>IF(H64="","",IF(I64="",TODAY()-H64,I64-H64))</f>
        <v/>
      </c>
      <c r="L64" s="10">
        <f>IF(AND(ISNUMBER(G64),H64="",TODAY()&gt;G64),"LATE","")</f>
        <v/>
      </c>
      <c r="M64" s="11"/>
      <c r="N64" s="11"/>
      <c r="O64" s="11"/>
      <c r="P64" s="11"/>
    </row>
    <row r="65" spans="1:16">
      <c r="A65" s="11"/>
      <c r="B65" s="11"/>
      <c r="C65" s="11"/>
      <c r="D65" s="11"/>
      <c r="E65" s="11"/>
      <c r="F65" s="11"/>
      <c r="G65" s="12"/>
      <c r="H65" s="12"/>
      <c r="I65" s="12"/>
      <c r="J65" s="11"/>
      <c r="K65" s="9">
        <f>IF(H65="","",IF(I65="",TODAY()-H65,I65-H65))</f>
        <v/>
      </c>
      <c r="L65" s="10">
        <f>IF(AND(ISNUMBER(G65),H65="",TODAY()&gt;G65),"LATE","")</f>
        <v/>
      </c>
      <c r="M65" s="11"/>
      <c r="N65" s="11"/>
      <c r="O65" s="11"/>
      <c r="P65" s="11"/>
    </row>
    <row r="66" spans="1:16">
      <c r="A66" s="11"/>
      <c r="B66" s="11"/>
      <c r="C66" s="11"/>
      <c r="D66" s="11"/>
      <c r="E66" s="11"/>
      <c r="F66" s="11"/>
      <c r="G66" s="12"/>
      <c r="H66" s="12"/>
      <c r="I66" s="12"/>
      <c r="J66" s="11"/>
      <c r="K66" s="9">
        <f>IF(H66="","",IF(I66="",TODAY()-H66,I66-H66))</f>
        <v/>
      </c>
      <c r="L66" s="10">
        <f>IF(AND(ISNUMBER(G66),H66="",TODAY()&gt;G66),"LATE","")</f>
        <v/>
      </c>
      <c r="M66" s="11"/>
      <c r="N66" s="11"/>
      <c r="O66" s="11"/>
      <c r="P66" s="11"/>
    </row>
    <row r="67" spans="1:16">
      <c r="A67" s="11"/>
      <c r="B67" s="11"/>
      <c r="C67" s="11"/>
      <c r="D67" s="11"/>
      <c r="E67" s="11"/>
      <c r="F67" s="11"/>
      <c r="G67" s="12"/>
      <c r="H67" s="12"/>
      <c r="I67" s="12"/>
      <c r="J67" s="11"/>
      <c r="K67" s="9">
        <f>IF(H67="","",IF(I67="",TODAY()-H67,I67-H67))</f>
        <v/>
      </c>
      <c r="L67" s="10">
        <f>IF(AND(ISNUMBER(G67),H67="",TODAY()&gt;G67),"LATE","")</f>
        <v/>
      </c>
      <c r="M67" s="11"/>
      <c r="N67" s="11"/>
      <c r="O67" s="11"/>
      <c r="P67" s="11"/>
    </row>
    <row r="68" spans="1:16">
      <c r="A68" s="11"/>
      <c r="B68" s="11"/>
      <c r="C68" s="11"/>
      <c r="D68" s="11"/>
      <c r="E68" s="11"/>
      <c r="F68" s="11"/>
      <c r="G68" s="12"/>
      <c r="H68" s="12"/>
      <c r="I68" s="12"/>
      <c r="J68" s="11"/>
      <c r="K68" s="9">
        <f>IF(H68="","",IF(I68="",TODAY()-H68,I68-H68))</f>
        <v/>
      </c>
      <c r="L68" s="10">
        <f>IF(AND(ISNUMBER(G68),H68="",TODAY()&gt;G68),"LATE","")</f>
        <v/>
      </c>
      <c r="M68" s="11"/>
      <c r="N68" s="11"/>
      <c r="O68" s="11"/>
      <c r="P68" s="11"/>
    </row>
    <row r="69" spans="1:16">
      <c r="A69" s="11"/>
      <c r="B69" s="11"/>
      <c r="C69" s="11"/>
      <c r="D69" s="11"/>
      <c r="E69" s="11"/>
      <c r="F69" s="11"/>
      <c r="G69" s="12"/>
      <c r="H69" s="12"/>
      <c r="I69" s="12"/>
      <c r="J69" s="11"/>
      <c r="K69" s="9">
        <f>IF(H69="","",IF(I69="",TODAY()-H69,I69-H69))</f>
        <v/>
      </c>
      <c r="L69" s="10">
        <f>IF(AND(ISNUMBER(G69),H69="",TODAY()&gt;G69),"LATE","")</f>
        <v/>
      </c>
      <c r="M69" s="11"/>
      <c r="N69" s="11"/>
      <c r="O69" s="11"/>
      <c r="P69" s="11"/>
    </row>
    <row r="70" spans="1:16">
      <c r="A70" s="11"/>
      <c r="B70" s="11"/>
      <c r="C70" s="11"/>
      <c r="D70" s="11"/>
      <c r="E70" s="11"/>
      <c r="F70" s="11"/>
      <c r="G70" s="12"/>
      <c r="H70" s="12"/>
      <c r="I70" s="12"/>
      <c r="J70" s="11"/>
      <c r="K70" s="9">
        <f>IF(H70="","",IF(I70="",TODAY()-H70,I70-H70))</f>
        <v/>
      </c>
      <c r="L70" s="10">
        <f>IF(AND(ISNUMBER(G70),H70="",TODAY()&gt;G70),"LATE","")</f>
        <v/>
      </c>
      <c r="M70" s="11"/>
      <c r="N70" s="11"/>
      <c r="O70" s="11"/>
      <c r="P70" s="11"/>
    </row>
    <row r="71" spans="1:16">
      <c r="A71" s="11"/>
      <c r="B71" s="11"/>
      <c r="C71" s="11"/>
      <c r="D71" s="11"/>
      <c r="E71" s="11"/>
      <c r="F71" s="11"/>
      <c r="G71" s="12"/>
      <c r="H71" s="12"/>
      <c r="I71" s="12"/>
      <c r="J71" s="11"/>
      <c r="K71" s="9">
        <f>IF(H71="","",IF(I71="",TODAY()-H71,I71-H71))</f>
        <v/>
      </c>
      <c r="L71" s="10">
        <f>IF(AND(ISNUMBER(G71),H71="",TODAY()&gt;G71),"LATE","")</f>
        <v/>
      </c>
      <c r="M71" s="11"/>
      <c r="N71" s="11"/>
      <c r="O71" s="11"/>
      <c r="P71" s="11"/>
    </row>
    <row r="72" spans="1:16">
      <c r="A72" s="11"/>
      <c r="B72" s="11"/>
      <c r="C72" s="11"/>
      <c r="D72" s="11"/>
      <c r="E72" s="11"/>
      <c r="F72" s="11"/>
      <c r="G72" s="12"/>
      <c r="H72" s="12"/>
      <c r="I72" s="12"/>
      <c r="J72" s="11"/>
      <c r="K72" s="9">
        <f>IF(H72="","",IF(I72="",TODAY()-H72,I72-H72))</f>
        <v/>
      </c>
      <c r="L72" s="10">
        <f>IF(AND(ISNUMBER(G72),H72="",TODAY()&gt;G72),"LATE","")</f>
        <v/>
      </c>
      <c r="M72" s="11"/>
      <c r="N72" s="11"/>
      <c r="O72" s="11"/>
      <c r="P72" s="11"/>
    </row>
    <row r="73" spans="1:16">
      <c r="A73" s="11"/>
      <c r="B73" s="11"/>
      <c r="C73" s="11"/>
      <c r="D73" s="11"/>
      <c r="E73" s="11"/>
      <c r="F73" s="11"/>
      <c r="G73" s="12"/>
      <c r="H73" s="12"/>
      <c r="I73" s="12"/>
      <c r="J73" s="11"/>
      <c r="K73" s="9">
        <f>IF(H73="","",IF(I73="",TODAY()-H73,I73-H73))</f>
        <v/>
      </c>
      <c r="L73" s="10">
        <f>IF(AND(ISNUMBER(G73),H73="",TODAY()&gt;G73),"LATE","")</f>
        <v/>
      </c>
      <c r="M73" s="11"/>
      <c r="N73" s="11"/>
      <c r="O73" s="11"/>
      <c r="P73" s="11"/>
    </row>
    <row r="74" spans="1:16">
      <c r="A74" s="11"/>
      <c r="B74" s="11"/>
      <c r="C74" s="11"/>
      <c r="D74" s="11"/>
      <c r="E74" s="11"/>
      <c r="F74" s="11"/>
      <c r="G74" s="12"/>
      <c r="H74" s="12"/>
      <c r="I74" s="12"/>
      <c r="J74" s="11"/>
      <c r="K74" s="9">
        <f>IF(H74="","",IF(I74="",TODAY()-H74,I74-H74))</f>
        <v/>
      </c>
      <c r="L74" s="10">
        <f>IF(AND(ISNUMBER(G74),H74="",TODAY()&gt;G74),"LATE","")</f>
        <v/>
      </c>
      <c r="M74" s="11"/>
      <c r="N74" s="11"/>
      <c r="O74" s="11"/>
      <c r="P74" s="11"/>
    </row>
    <row r="75" spans="1:16">
      <c r="A75" s="11"/>
      <c r="B75" s="11"/>
      <c r="C75" s="11"/>
      <c r="D75" s="11"/>
      <c r="E75" s="11"/>
      <c r="F75" s="11"/>
      <c r="G75" s="12"/>
      <c r="H75" s="12"/>
      <c r="I75" s="12"/>
      <c r="J75" s="11"/>
      <c r="K75" s="9">
        <f>IF(H75="","",IF(I75="",TODAY()-H75,I75-H75))</f>
        <v/>
      </c>
      <c r="L75" s="10">
        <f>IF(AND(ISNUMBER(G75),H75="",TODAY()&gt;G75),"LATE","")</f>
        <v/>
      </c>
      <c r="M75" s="11"/>
      <c r="N75" s="11"/>
      <c r="O75" s="11"/>
      <c r="P75" s="11"/>
    </row>
    <row r="76" spans="1:16">
      <c r="A76" s="11"/>
      <c r="B76" s="11"/>
      <c r="C76" s="11"/>
      <c r="D76" s="11"/>
      <c r="E76" s="11"/>
      <c r="F76" s="11"/>
      <c r="G76" s="12"/>
      <c r="H76" s="12"/>
      <c r="I76" s="12"/>
      <c r="J76" s="11"/>
      <c r="K76" s="9">
        <f>IF(H76="","",IF(I76="",TODAY()-H76,I76-H76))</f>
        <v/>
      </c>
      <c r="L76" s="10">
        <f>IF(AND(ISNUMBER(G76),H76="",TODAY()&gt;G76),"LATE","")</f>
        <v/>
      </c>
      <c r="M76" s="11"/>
      <c r="N76" s="11"/>
      <c r="O76" s="11"/>
      <c r="P76" s="11"/>
    </row>
    <row r="77" spans="1:16">
      <c r="A77" s="11"/>
      <c r="B77" s="11"/>
      <c r="C77" s="11"/>
      <c r="D77" s="11"/>
      <c r="E77" s="11"/>
      <c r="F77" s="11"/>
      <c r="G77" s="12"/>
      <c r="H77" s="12"/>
      <c r="I77" s="12"/>
      <c r="J77" s="11"/>
      <c r="K77" s="9">
        <f>IF(H77="","",IF(I77="",TODAY()-H77,I77-H77))</f>
        <v/>
      </c>
      <c r="L77" s="10">
        <f>IF(AND(ISNUMBER(G77),H77="",TODAY()&gt;G77),"LATE","")</f>
        <v/>
      </c>
      <c r="M77" s="11"/>
      <c r="N77" s="11"/>
      <c r="O77" s="11"/>
      <c r="P77" s="11"/>
    </row>
    <row r="78" spans="1:16">
      <c r="A78" s="11"/>
      <c r="B78" s="11"/>
      <c r="C78" s="11"/>
      <c r="D78" s="11"/>
      <c r="E78" s="11"/>
      <c r="F78" s="11"/>
      <c r="G78" s="12"/>
      <c r="H78" s="12"/>
      <c r="I78" s="12"/>
      <c r="J78" s="11"/>
      <c r="K78" s="9">
        <f>IF(H78="","",IF(I78="",TODAY()-H78,I78-H78))</f>
        <v/>
      </c>
      <c r="L78" s="10">
        <f>IF(AND(ISNUMBER(G78),H78="",TODAY()&gt;G78),"LATE","")</f>
        <v/>
      </c>
      <c r="M78" s="11"/>
      <c r="N78" s="11"/>
      <c r="O78" s="11"/>
      <c r="P78" s="11"/>
    </row>
    <row r="79" spans="1:16">
      <c r="A79" s="11"/>
      <c r="B79" s="11"/>
      <c r="C79" s="11"/>
      <c r="D79" s="11"/>
      <c r="E79" s="11"/>
      <c r="F79" s="11"/>
      <c r="G79" s="12"/>
      <c r="H79" s="12"/>
      <c r="I79" s="12"/>
      <c r="J79" s="11"/>
      <c r="K79" s="9">
        <f>IF(H79="","",IF(I79="",TODAY()-H79,I79-H79))</f>
        <v/>
      </c>
      <c r="L79" s="10">
        <f>IF(AND(ISNUMBER(G79),H79="",TODAY()&gt;G79),"LATE","")</f>
        <v/>
      </c>
      <c r="M79" s="11"/>
      <c r="N79" s="11"/>
      <c r="O79" s="11"/>
      <c r="P79" s="11"/>
    </row>
    <row r="80" spans="1:16">
      <c r="A80" s="11"/>
      <c r="B80" s="11"/>
      <c r="C80" s="11"/>
      <c r="D80" s="11"/>
      <c r="E80" s="11"/>
      <c r="F80" s="11"/>
      <c r="G80" s="12"/>
      <c r="H80" s="12"/>
      <c r="I80" s="12"/>
      <c r="J80" s="11"/>
      <c r="K80" s="9">
        <f>IF(H80="","",IF(I80="",TODAY()-H80,I80-H80))</f>
        <v/>
      </c>
      <c r="L80" s="10">
        <f>IF(AND(ISNUMBER(G80),H80="",TODAY()&gt;G80),"LATE","")</f>
        <v/>
      </c>
      <c r="M80" s="11"/>
      <c r="N80" s="11"/>
      <c r="O80" s="11"/>
      <c r="P80" s="11"/>
    </row>
    <row r="81" spans="1:16">
      <c r="A81" s="11"/>
      <c r="B81" s="11"/>
      <c r="C81" s="11"/>
      <c r="D81" s="11"/>
      <c r="E81" s="11"/>
      <c r="F81" s="11"/>
      <c r="G81" s="12"/>
      <c r="H81" s="12"/>
      <c r="I81" s="12"/>
      <c r="J81" s="11"/>
      <c r="K81" s="9">
        <f>IF(H81="","",IF(I81="",TODAY()-H81,I81-H81))</f>
        <v/>
      </c>
      <c r="L81" s="10">
        <f>IF(AND(ISNUMBER(G81),H81="",TODAY()&gt;G81),"LATE","")</f>
        <v/>
      </c>
      <c r="M81" s="11"/>
      <c r="N81" s="11"/>
      <c r="O81" s="11"/>
      <c r="P81" s="11"/>
    </row>
    <row r="82" spans="1:16">
      <c r="A82" s="11"/>
      <c r="B82" s="11"/>
      <c r="C82" s="11"/>
      <c r="D82" s="11"/>
      <c r="E82" s="11"/>
      <c r="F82" s="11"/>
      <c r="G82" s="12"/>
      <c r="H82" s="12"/>
      <c r="I82" s="12"/>
      <c r="J82" s="11"/>
      <c r="K82" s="9">
        <f>IF(H82="","",IF(I82="",TODAY()-H82,I82-H82))</f>
        <v/>
      </c>
      <c r="L82" s="10">
        <f>IF(AND(ISNUMBER(G82),H82="",TODAY()&gt;G82),"LATE","")</f>
        <v/>
      </c>
      <c r="M82" s="11"/>
      <c r="N82" s="11"/>
      <c r="O82" s="11"/>
      <c r="P82" s="11"/>
    </row>
    <row r="83" spans="1:16">
      <c r="A83" s="11"/>
      <c r="B83" s="11"/>
      <c r="C83" s="11"/>
      <c r="D83" s="11"/>
      <c r="E83" s="11"/>
      <c r="F83" s="11"/>
      <c r="G83" s="12"/>
      <c r="H83" s="12"/>
      <c r="I83" s="12"/>
      <c r="J83" s="11"/>
      <c r="K83" s="9">
        <f>IF(H83="","",IF(I83="",TODAY()-H83,I83-H83))</f>
        <v/>
      </c>
      <c r="L83" s="10">
        <f>IF(AND(ISNUMBER(G83),H83="",TODAY()&gt;G83),"LATE","")</f>
        <v/>
      </c>
      <c r="M83" s="11"/>
      <c r="N83" s="11"/>
      <c r="O83" s="11"/>
      <c r="P83" s="11"/>
    </row>
    <row r="84" spans="1:16">
      <c r="A84" s="11"/>
      <c r="B84" s="11"/>
      <c r="C84" s="11"/>
      <c r="D84" s="11"/>
      <c r="E84" s="11"/>
      <c r="F84" s="11"/>
      <c r="G84" s="12"/>
      <c r="H84" s="12"/>
      <c r="I84" s="12"/>
      <c r="J84" s="11"/>
      <c r="K84" s="9">
        <f>IF(H84="","",IF(I84="",TODAY()-H84,I84-H84))</f>
        <v/>
      </c>
      <c r="L84" s="10">
        <f>IF(AND(ISNUMBER(G84),H84="",TODAY()&gt;G84),"LATE","")</f>
        <v/>
      </c>
      <c r="M84" s="11"/>
      <c r="N84" s="11"/>
      <c r="O84" s="11"/>
      <c r="P84" s="11"/>
    </row>
    <row r="85" spans="1:16">
      <c r="A85" s="11"/>
      <c r="B85" s="11"/>
      <c r="C85" s="11"/>
      <c r="D85" s="11"/>
      <c r="E85" s="11"/>
      <c r="F85" s="11"/>
      <c r="G85" s="12"/>
      <c r="H85" s="12"/>
      <c r="I85" s="12"/>
      <c r="J85" s="11"/>
      <c r="K85" s="9">
        <f>IF(H85="","",IF(I85="",TODAY()-H85,I85-H85))</f>
        <v/>
      </c>
      <c r="L85" s="10">
        <f>IF(AND(ISNUMBER(G85),H85="",TODAY()&gt;G85),"LATE","")</f>
        <v/>
      </c>
      <c r="M85" s="11"/>
      <c r="N85" s="11"/>
      <c r="O85" s="11"/>
      <c r="P85" s="11"/>
    </row>
    <row r="86" spans="1:16">
      <c r="A86" s="11"/>
      <c r="B86" s="11"/>
      <c r="C86" s="11"/>
      <c r="D86" s="11"/>
      <c r="E86" s="11"/>
      <c r="F86" s="11"/>
      <c r="G86" s="12"/>
      <c r="H86" s="12"/>
      <c r="I86" s="12"/>
      <c r="J86" s="11"/>
      <c r="K86" s="9">
        <f>IF(H86="","",IF(I86="",TODAY()-H86,I86-H86))</f>
        <v/>
      </c>
      <c r="L86" s="10">
        <f>IF(AND(ISNUMBER(G86),H86="",TODAY()&gt;G86),"LATE","")</f>
        <v/>
      </c>
      <c r="M86" s="11"/>
      <c r="N86" s="11"/>
      <c r="O86" s="11"/>
      <c r="P86" s="11"/>
    </row>
    <row r="87" spans="1:16">
      <c r="A87" s="11"/>
      <c r="B87" s="11"/>
      <c r="C87" s="11"/>
      <c r="D87" s="11"/>
      <c r="E87" s="11"/>
      <c r="F87" s="11"/>
      <c r="G87" s="12"/>
      <c r="H87" s="12"/>
      <c r="I87" s="12"/>
      <c r="J87" s="11"/>
      <c r="K87" s="9">
        <f>IF(H87="","",IF(I87="",TODAY()-H87,I87-H87))</f>
        <v/>
      </c>
      <c r="L87" s="10">
        <f>IF(AND(ISNUMBER(G87),H87="",TODAY()&gt;G87),"LATE","")</f>
        <v/>
      </c>
      <c r="M87" s="11"/>
      <c r="N87" s="11"/>
      <c r="O87" s="11"/>
      <c r="P87" s="11"/>
    </row>
    <row r="88" spans="1:16">
      <c r="A88" s="11"/>
      <c r="B88" s="11"/>
      <c r="C88" s="11"/>
      <c r="D88" s="11"/>
      <c r="E88" s="11"/>
      <c r="F88" s="11"/>
      <c r="G88" s="12"/>
      <c r="H88" s="12"/>
      <c r="I88" s="12"/>
      <c r="J88" s="11"/>
      <c r="K88" s="9">
        <f>IF(H88="","",IF(I88="",TODAY()-H88,I88-H88))</f>
        <v/>
      </c>
      <c r="L88" s="10">
        <f>IF(AND(ISNUMBER(G88),H88="",TODAY()&gt;G88),"LATE","")</f>
        <v/>
      </c>
      <c r="M88" s="11"/>
      <c r="N88" s="11"/>
      <c r="O88" s="11"/>
      <c r="P88" s="11"/>
    </row>
    <row r="89" spans="1:16">
      <c r="A89" s="11"/>
      <c r="B89" s="11"/>
      <c r="C89" s="11"/>
      <c r="D89" s="11"/>
      <c r="E89" s="11"/>
      <c r="F89" s="11"/>
      <c r="G89" s="12"/>
      <c r="H89" s="12"/>
      <c r="I89" s="12"/>
      <c r="J89" s="11"/>
      <c r="K89" s="9">
        <f>IF(H89="","",IF(I89="",TODAY()-H89,I89-H89))</f>
        <v/>
      </c>
      <c r="L89" s="10">
        <f>IF(AND(ISNUMBER(G89),H89="",TODAY()&gt;G89),"LATE","")</f>
        <v/>
      </c>
      <c r="M89" s="11"/>
      <c r="N89" s="11"/>
      <c r="O89" s="11"/>
      <c r="P89" s="11"/>
    </row>
    <row r="90" spans="1:16">
      <c r="A90" s="11"/>
      <c r="B90" s="11"/>
      <c r="C90" s="11"/>
      <c r="D90" s="11"/>
      <c r="E90" s="11"/>
      <c r="F90" s="11"/>
      <c r="G90" s="12"/>
      <c r="H90" s="12"/>
      <c r="I90" s="12"/>
      <c r="J90" s="11"/>
      <c r="K90" s="9">
        <f>IF(H90="","",IF(I90="",TODAY()-H90,I90-H90))</f>
        <v/>
      </c>
      <c r="L90" s="10">
        <f>IF(AND(ISNUMBER(G90),H90="",TODAY()&gt;G90),"LATE","")</f>
        <v/>
      </c>
      <c r="M90" s="11"/>
      <c r="N90" s="11"/>
      <c r="O90" s="11"/>
      <c r="P90" s="11"/>
    </row>
    <row r="91" spans="1:16">
      <c r="A91" s="11"/>
      <c r="B91" s="11"/>
      <c r="C91" s="11"/>
      <c r="D91" s="11"/>
      <c r="E91" s="11"/>
      <c r="F91" s="11"/>
      <c r="G91" s="12"/>
      <c r="H91" s="12"/>
      <c r="I91" s="12"/>
      <c r="J91" s="11"/>
      <c r="K91" s="9">
        <f>IF(H91="","",IF(I91="",TODAY()-H91,I91-H91))</f>
        <v/>
      </c>
      <c r="L91" s="10">
        <f>IF(AND(ISNUMBER(G91),H91="",TODAY()&gt;G91),"LATE","")</f>
        <v/>
      </c>
      <c r="M91" s="11"/>
      <c r="N91" s="11"/>
      <c r="O91" s="11"/>
      <c r="P91" s="11"/>
    </row>
    <row r="92" spans="1:16">
      <c r="A92" s="11"/>
      <c r="B92" s="11"/>
      <c r="C92" s="11"/>
      <c r="D92" s="11"/>
      <c r="E92" s="11"/>
      <c r="F92" s="11"/>
      <c r="G92" s="12"/>
      <c r="H92" s="12"/>
      <c r="I92" s="12"/>
      <c r="J92" s="11"/>
      <c r="K92" s="9">
        <f>IF(H92="","",IF(I92="",TODAY()-H92,I92-H92))</f>
        <v/>
      </c>
      <c r="L92" s="10">
        <f>IF(AND(ISNUMBER(G92),H92="",TODAY()&gt;G92),"LATE","")</f>
        <v/>
      </c>
      <c r="M92" s="11"/>
      <c r="N92" s="11"/>
      <c r="O92" s="11"/>
      <c r="P92" s="11"/>
    </row>
    <row r="93" spans="1:16">
      <c r="A93" s="11"/>
      <c r="B93" s="11"/>
      <c r="C93" s="11"/>
      <c r="D93" s="11"/>
      <c r="E93" s="11"/>
      <c r="F93" s="11"/>
      <c r="G93" s="12"/>
      <c r="H93" s="12"/>
      <c r="I93" s="12"/>
      <c r="J93" s="11"/>
      <c r="K93" s="9">
        <f>IF(H93="","",IF(I93="",TODAY()-H93,I93-H93))</f>
        <v/>
      </c>
      <c r="L93" s="10">
        <f>IF(AND(ISNUMBER(G93),H93="",TODAY()&gt;G93),"LATE","")</f>
        <v/>
      </c>
      <c r="M93" s="11"/>
      <c r="N93" s="11"/>
      <c r="O93" s="11"/>
      <c r="P93" s="11"/>
    </row>
    <row r="94" spans="1:16">
      <c r="A94" s="11"/>
      <c r="B94" s="11"/>
      <c r="C94" s="11"/>
      <c r="D94" s="11"/>
      <c r="E94" s="11"/>
      <c r="F94" s="11"/>
      <c r="G94" s="12"/>
      <c r="H94" s="12"/>
      <c r="I94" s="12"/>
      <c r="J94" s="11"/>
      <c r="K94" s="9">
        <f>IF(H94="","",IF(I94="",TODAY()-H94,I94-H94))</f>
        <v/>
      </c>
      <c r="L94" s="10">
        <f>IF(AND(ISNUMBER(G94),H94="",TODAY()&gt;G94),"LATE","")</f>
        <v/>
      </c>
      <c r="M94" s="11"/>
      <c r="N94" s="11"/>
      <c r="O94" s="11"/>
      <c r="P94" s="11"/>
    </row>
    <row r="95" spans="1:16">
      <c r="A95" s="11"/>
      <c r="B95" s="11"/>
      <c r="C95" s="11"/>
      <c r="D95" s="11"/>
      <c r="E95" s="11"/>
      <c r="F95" s="11"/>
      <c r="G95" s="12"/>
      <c r="H95" s="12"/>
      <c r="I95" s="12"/>
      <c r="J95" s="11"/>
      <c r="K95" s="9">
        <f>IF(H95="","",IF(I95="",TODAY()-H95,I95-H95))</f>
        <v/>
      </c>
      <c r="L95" s="10">
        <f>IF(AND(ISNUMBER(G95),H95="",TODAY()&gt;G95),"LATE","")</f>
        <v/>
      </c>
      <c r="M95" s="11"/>
      <c r="N95" s="11"/>
      <c r="O95" s="11"/>
      <c r="P95" s="11"/>
    </row>
    <row r="96" spans="1:16">
      <c r="A96" s="11"/>
      <c r="B96" s="11"/>
      <c r="C96" s="11"/>
      <c r="D96" s="11"/>
      <c r="E96" s="11"/>
      <c r="F96" s="11"/>
      <c r="G96" s="12"/>
      <c r="H96" s="12"/>
      <c r="I96" s="12"/>
      <c r="J96" s="11"/>
      <c r="K96" s="9">
        <f>IF(H96="","",IF(I96="",TODAY()-H96,I96-H96))</f>
        <v/>
      </c>
      <c r="L96" s="10">
        <f>IF(AND(ISNUMBER(G96),H96="",TODAY()&gt;G96),"LATE","")</f>
        <v/>
      </c>
      <c r="M96" s="11"/>
      <c r="N96" s="11"/>
      <c r="O96" s="11"/>
      <c r="P96" s="11"/>
    </row>
    <row r="97" spans="1:16">
      <c r="A97" s="11"/>
      <c r="B97" s="11"/>
      <c r="C97" s="11"/>
      <c r="D97" s="11"/>
      <c r="E97" s="11"/>
      <c r="F97" s="11"/>
      <c r="G97" s="12"/>
      <c r="H97" s="12"/>
      <c r="I97" s="12"/>
      <c r="J97" s="11"/>
      <c r="K97" s="9">
        <f>IF(H97="","",IF(I97="",TODAY()-H97,I97-H97))</f>
        <v/>
      </c>
      <c r="L97" s="10">
        <f>IF(AND(ISNUMBER(G97),H97="",TODAY()&gt;G97),"LATE","")</f>
        <v/>
      </c>
      <c r="M97" s="11"/>
      <c r="N97" s="11"/>
      <c r="O97" s="11"/>
      <c r="P97" s="11"/>
    </row>
    <row r="98" spans="1:16">
      <c r="A98" s="11"/>
      <c r="B98" s="11"/>
      <c r="C98" s="11"/>
      <c r="D98" s="11"/>
      <c r="E98" s="11"/>
      <c r="F98" s="11"/>
      <c r="G98" s="12"/>
      <c r="H98" s="12"/>
      <c r="I98" s="12"/>
      <c r="J98" s="11"/>
      <c r="K98" s="9">
        <f>IF(H98="","",IF(I98="",TODAY()-H98,I98-H98))</f>
        <v/>
      </c>
      <c r="L98" s="10">
        <f>IF(AND(ISNUMBER(G98),H98="",TODAY()&gt;G98),"LATE","")</f>
        <v/>
      </c>
      <c r="M98" s="11"/>
      <c r="N98" s="11"/>
      <c r="O98" s="11"/>
      <c r="P98" s="11"/>
    </row>
    <row r="99" spans="1:16">
      <c r="A99" s="11"/>
      <c r="B99" s="11"/>
      <c r="C99" s="11"/>
      <c r="D99" s="11"/>
      <c r="E99" s="11"/>
      <c r="F99" s="11"/>
      <c r="G99" s="12"/>
      <c r="H99" s="12"/>
      <c r="I99" s="12"/>
      <c r="J99" s="11"/>
      <c r="K99" s="9">
        <f>IF(H99="","",IF(I99="",TODAY()-H99,I99-H99))</f>
        <v/>
      </c>
      <c r="L99" s="10">
        <f>IF(AND(ISNUMBER(G99),H99="",TODAY()&gt;G99),"LATE","")</f>
        <v/>
      </c>
      <c r="M99" s="11"/>
      <c r="N99" s="11"/>
      <c r="O99" s="11"/>
      <c r="P99" s="11"/>
    </row>
    <row r="100" spans="1:16">
      <c r="A100" s="11"/>
      <c r="B100" s="11"/>
      <c r="C100" s="11"/>
      <c r="D100" s="11"/>
      <c r="E100" s="11"/>
      <c r="F100" s="11"/>
      <c r="G100" s="12"/>
      <c r="H100" s="12"/>
      <c r="I100" s="12"/>
      <c r="J100" s="11"/>
      <c r="K100" s="9">
        <f>IF(H100="","",IF(I100="",TODAY()-H100,I100-H100))</f>
        <v/>
      </c>
      <c r="L100" s="10">
        <f>IF(AND(ISNUMBER(G100),H100="",TODAY()&gt;G100),"LATE","")</f>
        <v/>
      </c>
      <c r="M100" s="11"/>
      <c r="N100" s="11"/>
      <c r="O100" s="11"/>
      <c r="P100" s="11"/>
    </row>
    <row r="101" spans="1:16">
      <c r="A101" s="11"/>
      <c r="B101" s="11"/>
      <c r="C101" s="11"/>
      <c r="D101" s="11"/>
      <c r="E101" s="11"/>
      <c r="F101" s="11"/>
      <c r="G101" s="12"/>
      <c r="H101" s="12"/>
      <c r="I101" s="12"/>
      <c r="J101" s="11"/>
      <c r="K101" s="9">
        <f>IF(H101="","",IF(I101="",TODAY()-H101,I101-H101))</f>
        <v/>
      </c>
      <c r="L101" s="10">
        <f>IF(AND(ISNUMBER(G101),H101="",TODAY()&gt;G101),"LATE","")</f>
        <v/>
      </c>
      <c r="M101" s="11"/>
      <c r="N101" s="11"/>
      <c r="O101" s="11"/>
      <c r="P101" s="11"/>
    </row>
    <row r="102" spans="1:16">
      <c r="A102" s="11"/>
      <c r="B102" s="11"/>
      <c r="C102" s="11"/>
      <c r="D102" s="11"/>
      <c r="E102" s="11"/>
      <c r="F102" s="11"/>
      <c r="G102" s="12"/>
      <c r="H102" s="12"/>
      <c r="I102" s="12"/>
      <c r="J102" s="11"/>
      <c r="K102" s="9">
        <f>IF(H102="","",IF(I102="",TODAY()-H102,I102-H102))</f>
        <v/>
      </c>
      <c r="L102" s="10">
        <f>IF(AND(ISNUMBER(G102),H102="",TODAY()&gt;G102),"LATE","")</f>
        <v/>
      </c>
      <c r="M102" s="11"/>
      <c r="N102" s="11"/>
      <c r="O102" s="11"/>
      <c r="P102" s="11"/>
    </row>
    <row r="103" spans="1:16">
      <c r="A103" s="11"/>
      <c r="B103" s="11"/>
      <c r="C103" s="11"/>
      <c r="D103" s="11"/>
      <c r="E103" s="11"/>
      <c r="F103" s="11"/>
      <c r="G103" s="12"/>
      <c r="H103" s="12"/>
      <c r="I103" s="12"/>
      <c r="J103" s="11"/>
      <c r="K103" s="9">
        <f>IF(H103="","",IF(I103="",TODAY()-H103,I103-H103))</f>
        <v/>
      </c>
      <c r="L103" s="10">
        <f>IF(AND(ISNUMBER(G103),H103="",TODAY()&gt;G103),"LATE","")</f>
        <v/>
      </c>
      <c r="M103" s="11"/>
      <c r="N103" s="11"/>
      <c r="O103" s="11"/>
      <c r="P103" s="11"/>
    </row>
    <row r="104" spans="1:16">
      <c r="A104" s="11"/>
      <c r="B104" s="11"/>
      <c r="C104" s="11"/>
      <c r="D104" s="11"/>
      <c r="E104" s="11"/>
      <c r="F104" s="11"/>
      <c r="G104" s="12"/>
      <c r="H104" s="12"/>
      <c r="I104" s="12"/>
      <c r="J104" s="11"/>
      <c r="K104" s="9">
        <f>IF(H104="","",IF(I104="",TODAY()-H104,I104-H104))</f>
        <v/>
      </c>
      <c r="L104" s="10">
        <f>IF(AND(ISNUMBER(G104),H104="",TODAY()&gt;G104),"LATE","")</f>
        <v/>
      </c>
      <c r="M104" s="11"/>
      <c r="N104" s="11"/>
      <c r="O104" s="11"/>
      <c r="P104" s="11"/>
    </row>
    <row r="105" spans="1:16">
      <c r="A105" s="11"/>
      <c r="B105" s="11"/>
      <c r="C105" s="11"/>
      <c r="D105" s="11"/>
      <c r="E105" s="11"/>
      <c r="F105" s="11"/>
      <c r="G105" s="12"/>
      <c r="H105" s="12"/>
      <c r="I105" s="12"/>
      <c r="J105" s="11"/>
      <c r="K105" s="9">
        <f>IF(H105="","",IF(I105="",TODAY()-H105,I105-H105))</f>
        <v/>
      </c>
      <c r="L105" s="10">
        <f>IF(AND(ISNUMBER(G105),H105="",TODAY()&gt;G105),"LATE","")</f>
        <v/>
      </c>
      <c r="M105" s="11"/>
      <c r="N105" s="11"/>
      <c r="O105" s="11"/>
      <c r="P105" s="11"/>
    </row>
    <row r="106" spans="1:16">
      <c r="A106" s="11"/>
      <c r="B106" s="11"/>
      <c r="C106" s="11"/>
      <c r="D106" s="11"/>
      <c r="E106" s="11"/>
      <c r="F106" s="11"/>
      <c r="G106" s="12"/>
      <c r="H106" s="12"/>
      <c r="I106" s="12"/>
      <c r="J106" s="11"/>
      <c r="K106" s="9">
        <f>IF(H106="","",IF(I106="",TODAY()-H106,I106-H106))</f>
        <v/>
      </c>
      <c r="L106" s="10">
        <f>IF(AND(ISNUMBER(G106),H106="",TODAY()&gt;G106),"LATE","")</f>
        <v/>
      </c>
      <c r="M106" s="11"/>
      <c r="N106" s="11"/>
      <c r="O106" s="11"/>
      <c r="P106" s="11"/>
    </row>
    <row r="107" spans="1:16">
      <c r="A107" s="11"/>
      <c r="B107" s="11"/>
      <c r="C107" s="11"/>
      <c r="D107" s="11"/>
      <c r="E107" s="11"/>
      <c r="F107" s="11"/>
      <c r="G107" s="12"/>
      <c r="H107" s="12"/>
      <c r="I107" s="12"/>
      <c r="J107" s="11"/>
      <c r="K107" s="9">
        <f>IF(H107="","",IF(I107="",TODAY()-H107,I107-H107))</f>
        <v/>
      </c>
      <c r="L107" s="10">
        <f>IF(AND(ISNUMBER(G107),H107="",TODAY()&gt;G107),"LATE","")</f>
        <v/>
      </c>
      <c r="M107" s="11"/>
      <c r="N107" s="11"/>
      <c r="O107" s="11"/>
      <c r="P107" s="11"/>
    </row>
    <row r="108" spans="1:16">
      <c r="A108" s="11"/>
      <c r="B108" s="11"/>
      <c r="C108" s="11"/>
      <c r="D108" s="11"/>
      <c r="E108" s="11"/>
      <c r="F108" s="11"/>
      <c r="G108" s="12"/>
      <c r="H108" s="12"/>
      <c r="I108" s="12"/>
      <c r="J108" s="11"/>
      <c r="K108" s="9">
        <f>IF(H108="","",IF(I108="",TODAY()-H108,I108-H108))</f>
        <v/>
      </c>
      <c r="L108" s="10">
        <f>IF(AND(ISNUMBER(G108),H108="",TODAY()&gt;G108),"LATE","")</f>
        <v/>
      </c>
      <c r="M108" s="11"/>
      <c r="N108" s="11"/>
      <c r="O108" s="11"/>
      <c r="P108" s="11"/>
    </row>
    <row r="109" spans="1:16">
      <c r="A109" s="11"/>
      <c r="B109" s="11"/>
      <c r="C109" s="11"/>
      <c r="D109" s="11"/>
      <c r="E109" s="11"/>
      <c r="F109" s="11"/>
      <c r="G109" s="12"/>
      <c r="H109" s="12"/>
      <c r="I109" s="12"/>
      <c r="J109" s="11"/>
      <c r="K109" s="9">
        <f>IF(H109="","",IF(I109="",TODAY()-H109,I109-H109))</f>
        <v/>
      </c>
      <c r="L109" s="10">
        <f>IF(AND(ISNUMBER(G109),H109="",TODAY()&gt;G109),"LATE","")</f>
        <v/>
      </c>
      <c r="M109" s="11"/>
      <c r="N109" s="11"/>
      <c r="O109" s="11"/>
      <c r="P109" s="11"/>
    </row>
    <row r="110" spans="1:16">
      <c r="A110" s="11"/>
      <c r="B110" s="11"/>
      <c r="C110" s="11"/>
      <c r="D110" s="11"/>
      <c r="E110" s="11"/>
      <c r="F110" s="11"/>
      <c r="G110" s="12"/>
      <c r="H110" s="12"/>
      <c r="I110" s="12"/>
      <c r="J110" s="11"/>
      <c r="K110" s="9">
        <f>IF(H110="","",IF(I110="",TODAY()-H110,I110-H110))</f>
        <v/>
      </c>
      <c r="L110" s="10">
        <f>IF(AND(ISNUMBER(G110),H110="",TODAY()&gt;G110),"LATE","")</f>
        <v/>
      </c>
      <c r="M110" s="11"/>
      <c r="N110" s="11"/>
      <c r="O110" s="11"/>
      <c r="P110" s="11"/>
    </row>
    <row r="111" spans="1:16">
      <c r="A111" s="11"/>
      <c r="B111" s="11"/>
      <c r="C111" s="11"/>
      <c r="D111" s="11"/>
      <c r="E111" s="11"/>
      <c r="F111" s="11"/>
      <c r="G111" s="12"/>
      <c r="H111" s="12"/>
      <c r="I111" s="12"/>
      <c r="J111" s="11"/>
      <c r="K111" s="9">
        <f>IF(H111="","",IF(I111="",TODAY()-H111,I111-H111))</f>
        <v/>
      </c>
      <c r="L111" s="10">
        <f>IF(AND(ISNUMBER(G111),H111="",TODAY()&gt;G111),"LATE","")</f>
        <v/>
      </c>
      <c r="M111" s="11"/>
      <c r="N111" s="11"/>
      <c r="O111" s="11"/>
      <c r="P111" s="11"/>
    </row>
    <row r="112" spans="1:16">
      <c r="A112" s="11"/>
      <c r="B112" s="11"/>
      <c r="C112" s="11"/>
      <c r="D112" s="11"/>
      <c r="E112" s="11"/>
      <c r="F112" s="11"/>
      <c r="G112" s="12"/>
      <c r="H112" s="12"/>
      <c r="I112" s="12"/>
      <c r="J112" s="11"/>
      <c r="K112" s="9">
        <f>IF(H112="","",IF(I112="",TODAY()-H112,I112-H112))</f>
        <v/>
      </c>
      <c r="L112" s="10">
        <f>IF(AND(ISNUMBER(G112),H112="",TODAY()&gt;G112),"LATE","")</f>
        <v/>
      </c>
      <c r="M112" s="11"/>
      <c r="N112" s="11"/>
      <c r="O112" s="11"/>
      <c r="P112" s="11"/>
    </row>
    <row r="113" spans="1:16">
      <c r="A113" s="11"/>
      <c r="B113" s="11"/>
      <c r="C113" s="11"/>
      <c r="D113" s="11"/>
      <c r="E113" s="11"/>
      <c r="F113" s="11"/>
      <c r="G113" s="12"/>
      <c r="H113" s="12"/>
      <c r="I113" s="12"/>
      <c r="J113" s="11"/>
      <c r="K113" s="9">
        <f>IF(H113="","",IF(I113="",TODAY()-H113,I113-H113))</f>
        <v/>
      </c>
      <c r="L113" s="10">
        <f>IF(AND(ISNUMBER(G113),H113="",TODAY()&gt;G113),"LATE","")</f>
        <v/>
      </c>
      <c r="M113" s="11"/>
      <c r="N113" s="11"/>
      <c r="O113" s="11"/>
      <c r="P113" s="11"/>
    </row>
    <row r="114" spans="1:16">
      <c r="A114" s="11"/>
      <c r="B114" s="11"/>
      <c r="C114" s="11"/>
      <c r="D114" s="11"/>
      <c r="E114" s="11"/>
      <c r="F114" s="11"/>
      <c r="G114" s="12"/>
      <c r="H114" s="12"/>
      <c r="I114" s="12"/>
      <c r="J114" s="11"/>
      <c r="K114" s="9">
        <f>IF(H114="","",IF(I114="",TODAY()-H114,I114-H114))</f>
        <v/>
      </c>
      <c r="L114" s="10">
        <f>IF(AND(ISNUMBER(G114),H114="",TODAY()&gt;G114),"LATE","")</f>
        <v/>
      </c>
      <c r="M114" s="11"/>
      <c r="N114" s="11"/>
      <c r="O114" s="11"/>
      <c r="P114" s="11"/>
    </row>
    <row r="115" spans="1:16">
      <c r="A115" s="11"/>
      <c r="B115" s="11"/>
      <c r="C115" s="11"/>
      <c r="D115" s="11"/>
      <c r="E115" s="11"/>
      <c r="F115" s="11"/>
      <c r="G115" s="12"/>
      <c r="H115" s="12"/>
      <c r="I115" s="12"/>
      <c r="J115" s="11"/>
      <c r="K115" s="9">
        <f>IF(H115="","",IF(I115="",TODAY()-H115,I115-H115))</f>
        <v/>
      </c>
      <c r="L115" s="10">
        <f>IF(AND(ISNUMBER(G115),H115="",TODAY()&gt;G115),"LATE","")</f>
        <v/>
      </c>
      <c r="M115" s="11"/>
      <c r="N115" s="11"/>
      <c r="O115" s="11"/>
      <c r="P115" s="11"/>
    </row>
    <row r="116" spans="1:16">
      <c r="A116" s="11"/>
      <c r="B116" s="11"/>
      <c r="C116" s="11"/>
      <c r="D116" s="11"/>
      <c r="E116" s="11"/>
      <c r="F116" s="11"/>
      <c r="G116" s="12"/>
      <c r="H116" s="12"/>
      <c r="I116" s="12"/>
      <c r="J116" s="11"/>
      <c r="K116" s="9">
        <f>IF(H116="","",IF(I116="",TODAY()-H116,I116-H116))</f>
        <v/>
      </c>
      <c r="L116" s="10">
        <f>IF(AND(ISNUMBER(G116),H116="",TODAY()&gt;G116),"LATE","")</f>
        <v/>
      </c>
      <c r="M116" s="11"/>
      <c r="N116" s="11"/>
      <c r="O116" s="11"/>
      <c r="P116" s="11"/>
    </row>
    <row r="117" spans="1:16">
      <c r="A117" s="11"/>
      <c r="B117" s="11"/>
      <c r="C117" s="11"/>
      <c r="D117" s="11"/>
      <c r="E117" s="11"/>
      <c r="F117" s="11"/>
      <c r="G117" s="12"/>
      <c r="H117" s="12"/>
      <c r="I117" s="12"/>
      <c r="J117" s="11"/>
      <c r="K117" s="9">
        <f>IF(H117="","",IF(I117="",TODAY()-H117,I117-H117))</f>
        <v/>
      </c>
      <c r="L117" s="10">
        <f>IF(AND(ISNUMBER(G117),H117="",TODAY()&gt;G117),"LATE","")</f>
        <v/>
      </c>
      <c r="M117" s="11"/>
      <c r="N117" s="11"/>
      <c r="O117" s="11"/>
      <c r="P117" s="11"/>
    </row>
    <row r="118" spans="1:16">
      <c r="A118" s="11"/>
      <c r="B118" s="11"/>
      <c r="C118" s="11"/>
      <c r="D118" s="11"/>
      <c r="E118" s="11"/>
      <c r="F118" s="11"/>
      <c r="G118" s="12"/>
      <c r="H118" s="12"/>
      <c r="I118" s="12"/>
      <c r="J118" s="11"/>
      <c r="K118" s="9">
        <f>IF(H118="","",IF(I118="",TODAY()-H118,I118-H118))</f>
        <v/>
      </c>
      <c r="L118" s="10">
        <f>IF(AND(ISNUMBER(G118),H118="",TODAY()&gt;G118),"LATE","")</f>
        <v/>
      </c>
      <c r="M118" s="11"/>
      <c r="N118" s="11"/>
      <c r="O118" s="11"/>
      <c r="P118" s="11"/>
    </row>
    <row r="119" spans="1:16">
      <c r="A119" s="11"/>
      <c r="B119" s="11"/>
      <c r="C119" s="11"/>
      <c r="D119" s="11"/>
      <c r="E119" s="11"/>
      <c r="F119" s="11"/>
      <c r="G119" s="12"/>
      <c r="H119" s="12"/>
      <c r="I119" s="12"/>
      <c r="J119" s="11"/>
      <c r="K119" s="9">
        <f>IF(H119="","",IF(I119="",TODAY()-H119,I119-H119))</f>
        <v/>
      </c>
      <c r="L119" s="10">
        <f>IF(AND(ISNUMBER(G119),H119="",TODAY()&gt;G119),"LATE","")</f>
        <v/>
      </c>
      <c r="M119" s="11"/>
      <c r="N119" s="11"/>
      <c r="O119" s="11"/>
      <c r="P119" s="11"/>
    </row>
    <row r="120" spans="1:16">
      <c r="A120" s="11"/>
      <c r="B120" s="11"/>
      <c r="C120" s="11"/>
      <c r="D120" s="11"/>
      <c r="E120" s="11"/>
      <c r="F120" s="11"/>
      <c r="G120" s="12"/>
      <c r="H120" s="12"/>
      <c r="I120" s="12"/>
      <c r="J120" s="11"/>
      <c r="K120" s="9">
        <f>IF(H120="","",IF(I120="",TODAY()-H120,I120-H120))</f>
        <v/>
      </c>
      <c r="L120" s="10">
        <f>IF(AND(ISNUMBER(G120),H120="",TODAY()&gt;G120),"LATE","")</f>
        <v/>
      </c>
      <c r="M120" s="11"/>
      <c r="N120" s="11"/>
      <c r="O120" s="11"/>
      <c r="P120" s="11"/>
    </row>
    <row r="121" spans="1:16">
      <c r="A121" s="11"/>
      <c r="B121" s="11"/>
      <c r="C121" s="11"/>
      <c r="D121" s="11"/>
      <c r="E121" s="11"/>
      <c r="F121" s="11"/>
      <c r="G121" s="12"/>
      <c r="H121" s="12"/>
      <c r="I121" s="12"/>
      <c r="J121" s="11"/>
      <c r="K121" s="9">
        <f>IF(H121="","",IF(I121="",TODAY()-H121,I121-H121))</f>
        <v/>
      </c>
      <c r="L121" s="10">
        <f>IF(AND(ISNUMBER(G121),H121="",TODAY()&gt;G121),"LATE","")</f>
        <v/>
      </c>
      <c r="M121" s="11"/>
      <c r="N121" s="11"/>
      <c r="O121" s="11"/>
      <c r="P121" s="11"/>
    </row>
    <row r="122" spans="1:16">
      <c r="A122" s="11"/>
      <c r="B122" s="11"/>
      <c r="C122" s="11"/>
      <c r="D122" s="11"/>
      <c r="E122" s="11"/>
      <c r="F122" s="11"/>
      <c r="G122" s="12"/>
      <c r="H122" s="12"/>
      <c r="I122" s="12"/>
      <c r="J122" s="11"/>
      <c r="K122" s="9">
        <f>IF(H122="","",IF(I122="",TODAY()-H122,I122-H122))</f>
        <v/>
      </c>
      <c r="L122" s="10">
        <f>IF(AND(ISNUMBER(G122),H122="",TODAY()&gt;G122),"LATE","")</f>
        <v/>
      </c>
      <c r="M122" s="11"/>
      <c r="N122" s="11"/>
      <c r="O122" s="11"/>
      <c r="P122" s="11"/>
    </row>
    <row r="123" spans="1:16">
      <c r="A123" s="11"/>
      <c r="B123" s="11"/>
      <c r="C123" s="11"/>
      <c r="D123" s="11"/>
      <c r="E123" s="11"/>
      <c r="F123" s="11"/>
      <c r="G123" s="12"/>
      <c r="H123" s="12"/>
      <c r="I123" s="12"/>
      <c r="J123" s="11"/>
      <c r="K123" s="9">
        <f>IF(H123="","",IF(I123="",TODAY()-H123,I123-H123))</f>
        <v/>
      </c>
      <c r="L123" s="10">
        <f>IF(AND(ISNUMBER(G123),H123="",TODAY()&gt;G123),"LATE","")</f>
        <v/>
      </c>
      <c r="M123" s="11"/>
      <c r="N123" s="11"/>
      <c r="O123" s="11"/>
      <c r="P123" s="11"/>
    </row>
    <row r="124" spans="1:16">
      <c r="A124" s="11"/>
      <c r="B124" s="11"/>
      <c r="C124" s="11"/>
      <c r="D124" s="11"/>
      <c r="E124" s="11"/>
      <c r="F124" s="11"/>
      <c r="G124" s="12"/>
      <c r="H124" s="12"/>
      <c r="I124" s="12"/>
      <c r="J124" s="11"/>
      <c r="K124" s="9">
        <f>IF(H124="","",IF(I124="",TODAY()-H124,I124-H124))</f>
        <v/>
      </c>
      <c r="L124" s="10">
        <f>IF(AND(ISNUMBER(G124),H124="",TODAY()&gt;G124),"LATE","")</f>
        <v/>
      </c>
      <c r="M124" s="11"/>
      <c r="N124" s="11"/>
      <c r="O124" s="11"/>
      <c r="P124" s="11"/>
    </row>
    <row r="125" spans="1:16">
      <c r="A125" s="11"/>
      <c r="B125" s="11"/>
      <c r="C125" s="11"/>
      <c r="D125" s="11"/>
      <c r="E125" s="11"/>
      <c r="F125" s="11"/>
      <c r="G125" s="12"/>
      <c r="H125" s="12"/>
      <c r="I125" s="12"/>
      <c r="J125" s="11"/>
      <c r="K125" s="9">
        <f>IF(H125="","",IF(I125="",TODAY()-H125,I125-H125))</f>
        <v/>
      </c>
      <c r="L125" s="10">
        <f>IF(AND(ISNUMBER(G125),H125="",TODAY()&gt;G125),"LATE","")</f>
        <v/>
      </c>
      <c r="M125" s="11"/>
      <c r="N125" s="11"/>
      <c r="O125" s="11"/>
      <c r="P125" s="11"/>
    </row>
    <row r="126" spans="1:16">
      <c r="A126" s="11"/>
      <c r="B126" s="11"/>
      <c r="C126" s="11"/>
      <c r="D126" s="11"/>
      <c r="E126" s="11"/>
      <c r="F126" s="11"/>
      <c r="G126" s="12"/>
      <c r="H126" s="12"/>
      <c r="I126" s="12"/>
      <c r="J126" s="11"/>
      <c r="K126" s="9">
        <f>IF(H126="","",IF(I126="",TODAY()-H126,I126-H126))</f>
        <v/>
      </c>
      <c r="L126" s="10">
        <f>IF(AND(ISNUMBER(G126),H126="",TODAY()&gt;G126),"LATE","")</f>
        <v/>
      </c>
      <c r="M126" s="11"/>
      <c r="N126" s="11"/>
      <c r="O126" s="11"/>
      <c r="P126" s="11"/>
    </row>
    <row r="127" spans="1:16">
      <c r="A127" s="11"/>
      <c r="B127" s="11"/>
      <c r="C127" s="11"/>
      <c r="D127" s="11"/>
      <c r="E127" s="11"/>
      <c r="F127" s="11"/>
      <c r="G127" s="12"/>
      <c r="H127" s="12"/>
      <c r="I127" s="12"/>
      <c r="J127" s="11"/>
      <c r="K127" s="9">
        <f>IF(H127="","",IF(I127="",TODAY()-H127,I127-H127))</f>
        <v/>
      </c>
      <c r="L127" s="10">
        <f>IF(AND(ISNUMBER(G127),H127="",TODAY()&gt;G127),"LATE","")</f>
        <v/>
      </c>
      <c r="M127" s="11"/>
      <c r="N127" s="11"/>
      <c r="O127" s="11"/>
      <c r="P127" s="11"/>
    </row>
    <row r="128" spans="1:16">
      <c r="A128" s="11"/>
      <c r="B128" s="11"/>
      <c r="C128" s="11"/>
      <c r="D128" s="11"/>
      <c r="E128" s="11"/>
      <c r="F128" s="11"/>
      <c r="G128" s="12"/>
      <c r="H128" s="12"/>
      <c r="I128" s="12"/>
      <c r="J128" s="11"/>
      <c r="K128" s="9">
        <f>IF(H128="","",IF(I128="",TODAY()-H128,I128-H128))</f>
        <v/>
      </c>
      <c r="L128" s="10">
        <f>IF(AND(ISNUMBER(G128),H128="",TODAY()&gt;G128),"LATE","")</f>
        <v/>
      </c>
      <c r="M128" s="11"/>
      <c r="N128" s="11"/>
      <c r="O128" s="11"/>
      <c r="P128" s="11"/>
    </row>
    <row r="129" spans="1:16">
      <c r="A129" s="11"/>
      <c r="B129" s="11"/>
      <c r="C129" s="11"/>
      <c r="D129" s="11"/>
      <c r="E129" s="11"/>
      <c r="F129" s="11"/>
      <c r="G129" s="12"/>
      <c r="H129" s="12"/>
      <c r="I129" s="12"/>
      <c r="J129" s="11"/>
      <c r="K129" s="9">
        <f>IF(H129="","",IF(I129="",TODAY()-H129,I129-H129))</f>
        <v/>
      </c>
      <c r="L129" s="10">
        <f>IF(AND(ISNUMBER(G129),H129="",TODAY()&gt;G129),"LATE","")</f>
        <v/>
      </c>
      <c r="M129" s="11"/>
      <c r="N129" s="11"/>
      <c r="O129" s="11"/>
      <c r="P129" s="11"/>
    </row>
    <row r="130" spans="1:16">
      <c r="A130" s="11"/>
      <c r="B130" s="11"/>
      <c r="C130" s="11"/>
      <c r="D130" s="11"/>
      <c r="E130" s="11"/>
      <c r="F130" s="11"/>
      <c r="G130" s="12"/>
      <c r="H130" s="12"/>
      <c r="I130" s="12"/>
      <c r="J130" s="11"/>
      <c r="K130" s="9">
        <f>IF(H130="","",IF(I130="",TODAY()-H130,I130-H130))</f>
        <v/>
      </c>
      <c r="L130" s="10">
        <f>IF(AND(ISNUMBER(G130),H130="",TODAY()&gt;G130),"LATE","")</f>
        <v/>
      </c>
      <c r="M130" s="11"/>
      <c r="N130" s="11"/>
      <c r="O130" s="11"/>
      <c r="P130" s="11"/>
    </row>
    <row r="131" spans="1:16">
      <c r="A131" s="11"/>
      <c r="B131" s="11"/>
      <c r="C131" s="11"/>
      <c r="D131" s="11"/>
      <c r="E131" s="11"/>
      <c r="F131" s="11"/>
      <c r="G131" s="12"/>
      <c r="H131" s="12"/>
      <c r="I131" s="12"/>
      <c r="J131" s="11"/>
      <c r="K131" s="9">
        <f>IF(H131="","",IF(I131="",TODAY()-H131,I131-H131))</f>
        <v/>
      </c>
      <c r="L131" s="10">
        <f>IF(AND(ISNUMBER(G131),H131="",TODAY()&gt;G131),"LATE","")</f>
        <v/>
      </c>
      <c r="M131" s="11"/>
      <c r="N131" s="11"/>
      <c r="O131" s="11"/>
      <c r="P131" s="11"/>
    </row>
    <row r="132" spans="1:16">
      <c r="A132" s="11"/>
      <c r="B132" s="11"/>
      <c r="C132" s="11"/>
      <c r="D132" s="11"/>
      <c r="E132" s="11"/>
      <c r="F132" s="11"/>
      <c r="G132" s="12"/>
      <c r="H132" s="12"/>
      <c r="I132" s="12"/>
      <c r="J132" s="11"/>
      <c r="K132" s="9">
        <f>IF(H132="","",IF(I132="",TODAY()-H132,I132-H132))</f>
        <v/>
      </c>
      <c r="L132" s="10">
        <f>IF(AND(ISNUMBER(G132),H132="",TODAY()&gt;G132),"LATE","")</f>
        <v/>
      </c>
      <c r="M132" s="11"/>
      <c r="N132" s="11"/>
      <c r="O132" s="11"/>
      <c r="P132" s="11"/>
    </row>
    <row r="133" spans="1:16">
      <c r="A133" s="11"/>
      <c r="B133" s="11"/>
      <c r="C133" s="11"/>
      <c r="D133" s="11"/>
      <c r="E133" s="11"/>
      <c r="F133" s="11"/>
      <c r="G133" s="12"/>
      <c r="H133" s="12"/>
      <c r="I133" s="12"/>
      <c r="J133" s="11"/>
      <c r="K133" s="9">
        <f>IF(H133="","",IF(I133="",TODAY()-H133,I133-H133))</f>
        <v/>
      </c>
      <c r="L133" s="10">
        <f>IF(AND(ISNUMBER(G133),H133="",TODAY()&gt;G133),"LATE","")</f>
        <v/>
      </c>
      <c r="M133" s="11"/>
      <c r="N133" s="11"/>
      <c r="O133" s="11"/>
      <c r="P133" s="11"/>
    </row>
    <row r="134" spans="1:16">
      <c r="A134" s="11"/>
      <c r="B134" s="11"/>
      <c r="C134" s="11"/>
      <c r="D134" s="11"/>
      <c r="E134" s="11"/>
      <c r="F134" s="11"/>
      <c r="G134" s="12"/>
      <c r="H134" s="12"/>
      <c r="I134" s="12"/>
      <c r="J134" s="11"/>
      <c r="K134" s="9">
        <f>IF(H134="","",IF(I134="",TODAY()-H134,I134-H134))</f>
        <v/>
      </c>
      <c r="L134" s="10">
        <f>IF(AND(ISNUMBER(G134),H134="",TODAY()&gt;G134),"LATE","")</f>
        <v/>
      </c>
      <c r="M134" s="11"/>
      <c r="N134" s="11"/>
      <c r="O134" s="11"/>
      <c r="P134" s="11"/>
    </row>
    <row r="135" spans="1:16">
      <c r="A135" s="11"/>
      <c r="B135" s="11"/>
      <c r="C135" s="11"/>
      <c r="D135" s="11"/>
      <c r="E135" s="11"/>
      <c r="F135" s="11"/>
      <c r="G135" s="12"/>
      <c r="H135" s="12"/>
      <c r="I135" s="12"/>
      <c r="J135" s="11"/>
      <c r="K135" s="9">
        <f>IF(H135="","",IF(I135="",TODAY()-H135,I135-H135))</f>
        <v/>
      </c>
      <c r="L135" s="10">
        <f>IF(AND(ISNUMBER(G135),H135="",TODAY()&gt;G135),"LATE","")</f>
        <v/>
      </c>
      <c r="M135" s="11"/>
      <c r="N135" s="11"/>
      <c r="O135" s="11"/>
      <c r="P135" s="11"/>
    </row>
    <row r="136" spans="1:16">
      <c r="A136" s="11"/>
      <c r="B136" s="11"/>
      <c r="C136" s="11"/>
      <c r="D136" s="11"/>
      <c r="E136" s="11"/>
      <c r="F136" s="11"/>
      <c r="G136" s="12"/>
      <c r="H136" s="12"/>
      <c r="I136" s="12"/>
      <c r="J136" s="11"/>
      <c r="K136" s="9">
        <f>IF(H136="","",IF(I136="",TODAY()-H136,I136-H136))</f>
        <v/>
      </c>
      <c r="L136" s="10">
        <f>IF(AND(ISNUMBER(G136),H136="",TODAY()&gt;G136),"LATE","")</f>
        <v/>
      </c>
      <c r="M136" s="11"/>
      <c r="N136" s="11"/>
      <c r="O136" s="11"/>
      <c r="P136" s="11"/>
    </row>
    <row r="137" spans="1:16">
      <c r="A137" s="11"/>
      <c r="B137" s="11"/>
      <c r="C137" s="11"/>
      <c r="D137" s="11"/>
      <c r="E137" s="11"/>
      <c r="F137" s="11"/>
      <c r="G137" s="12"/>
      <c r="H137" s="12"/>
      <c r="I137" s="12"/>
      <c r="J137" s="11"/>
      <c r="K137" s="9">
        <f>IF(H137="","",IF(I137="",TODAY()-H137,I137-H137))</f>
        <v/>
      </c>
      <c r="L137" s="10">
        <f>IF(AND(ISNUMBER(G137),H137="",TODAY()&gt;G137),"LATE","")</f>
        <v/>
      </c>
      <c r="M137" s="11"/>
      <c r="N137" s="11"/>
      <c r="O137" s="11"/>
      <c r="P137" s="11"/>
    </row>
    <row r="138" spans="1:16">
      <c r="A138" s="11"/>
      <c r="B138" s="11"/>
      <c r="C138" s="11"/>
      <c r="D138" s="11"/>
      <c r="E138" s="11"/>
      <c r="F138" s="11"/>
      <c r="G138" s="12"/>
      <c r="H138" s="12"/>
      <c r="I138" s="12"/>
      <c r="J138" s="11"/>
      <c r="K138" s="9">
        <f>IF(H138="","",IF(I138="",TODAY()-H138,I138-H138))</f>
        <v/>
      </c>
      <c r="L138" s="10">
        <f>IF(AND(ISNUMBER(G138),H138="",TODAY()&gt;G138),"LATE","")</f>
        <v/>
      </c>
      <c r="M138" s="11"/>
      <c r="N138" s="11"/>
      <c r="O138" s="11"/>
      <c r="P138" s="11"/>
    </row>
    <row r="139" spans="1:16">
      <c r="A139" s="11"/>
      <c r="B139" s="11"/>
      <c r="C139" s="11"/>
      <c r="D139" s="11"/>
      <c r="E139" s="11"/>
      <c r="F139" s="11"/>
      <c r="G139" s="12"/>
      <c r="H139" s="12"/>
      <c r="I139" s="12"/>
      <c r="J139" s="11"/>
      <c r="K139" s="9">
        <f>IF(H139="","",IF(I139="",TODAY()-H139,I139-H139))</f>
        <v/>
      </c>
      <c r="L139" s="10">
        <f>IF(AND(ISNUMBER(G139),H139="",TODAY()&gt;G139),"LATE","")</f>
        <v/>
      </c>
      <c r="M139" s="11"/>
      <c r="N139" s="11"/>
      <c r="O139" s="11"/>
      <c r="P139" s="11"/>
    </row>
    <row r="140" spans="1:16">
      <c r="A140" s="11"/>
      <c r="B140" s="11"/>
      <c r="C140" s="11"/>
      <c r="D140" s="11"/>
      <c r="E140" s="11"/>
      <c r="F140" s="11"/>
      <c r="G140" s="12"/>
      <c r="H140" s="12"/>
      <c r="I140" s="12"/>
      <c r="J140" s="11"/>
      <c r="K140" s="9">
        <f>IF(H140="","",IF(I140="",TODAY()-H140,I140-H140))</f>
        <v/>
      </c>
      <c r="L140" s="10">
        <f>IF(AND(ISNUMBER(G140),H140="",TODAY()&gt;G140),"LATE","")</f>
        <v/>
      </c>
      <c r="M140" s="11"/>
      <c r="N140" s="11"/>
      <c r="O140" s="11"/>
      <c r="P140" s="11"/>
    </row>
    <row r="141" spans="1:16">
      <c r="A141" s="11"/>
      <c r="B141" s="11"/>
      <c r="C141" s="11"/>
      <c r="D141" s="11"/>
      <c r="E141" s="11"/>
      <c r="F141" s="11"/>
      <c r="G141" s="12"/>
      <c r="H141" s="12"/>
      <c r="I141" s="12"/>
      <c r="J141" s="11"/>
      <c r="K141" s="9">
        <f>IF(H141="","",IF(I141="",TODAY()-H141,I141-H141))</f>
        <v/>
      </c>
      <c r="L141" s="10">
        <f>IF(AND(ISNUMBER(G141),H141="",TODAY()&gt;G141),"LATE","")</f>
        <v/>
      </c>
      <c r="M141" s="11"/>
      <c r="N141" s="11"/>
      <c r="O141" s="11"/>
      <c r="P141" s="11"/>
    </row>
    <row r="142" spans="1:16">
      <c r="A142" s="11"/>
      <c r="B142" s="11"/>
      <c r="C142" s="11"/>
      <c r="D142" s="11"/>
      <c r="E142" s="11"/>
      <c r="F142" s="11"/>
      <c r="G142" s="12"/>
      <c r="H142" s="12"/>
      <c r="I142" s="12"/>
      <c r="J142" s="11"/>
      <c r="K142" s="9">
        <f>IF(H142="","",IF(I142="",TODAY()-H142,I142-H142))</f>
        <v/>
      </c>
      <c r="L142" s="10">
        <f>IF(AND(ISNUMBER(G142),H142="",TODAY()&gt;G142),"LATE","")</f>
        <v/>
      </c>
      <c r="M142" s="11"/>
      <c r="N142" s="11"/>
      <c r="O142" s="11"/>
      <c r="P142" s="11"/>
    </row>
    <row r="143" spans="1:16">
      <c r="A143" s="11"/>
      <c r="B143" s="11"/>
      <c r="C143" s="11"/>
      <c r="D143" s="11"/>
      <c r="E143" s="11"/>
      <c r="F143" s="11"/>
      <c r="G143" s="12"/>
      <c r="H143" s="12"/>
      <c r="I143" s="12"/>
      <c r="J143" s="11"/>
      <c r="K143" s="9">
        <f>IF(H143="","",IF(I143="",TODAY()-H143,I143-H143))</f>
        <v/>
      </c>
      <c r="L143" s="10">
        <f>IF(AND(ISNUMBER(G143),H143="",TODAY()&gt;G143),"LATE","")</f>
        <v/>
      </c>
      <c r="M143" s="11"/>
      <c r="N143" s="11"/>
      <c r="O143" s="11"/>
      <c r="P143" s="11"/>
    </row>
    <row r="144" spans="1:16">
      <c r="A144" s="11"/>
      <c r="B144" s="11"/>
      <c r="C144" s="11"/>
      <c r="D144" s="11"/>
      <c r="E144" s="11"/>
      <c r="F144" s="11"/>
      <c r="G144" s="12"/>
      <c r="H144" s="12"/>
      <c r="I144" s="12"/>
      <c r="J144" s="11"/>
      <c r="K144" s="9">
        <f>IF(H144="","",IF(I144="",TODAY()-H144,I144-H144))</f>
        <v/>
      </c>
      <c r="L144" s="10">
        <f>IF(AND(ISNUMBER(G144),H144="",TODAY()&gt;G144),"LATE","")</f>
        <v/>
      </c>
      <c r="M144" s="11"/>
      <c r="N144" s="11"/>
      <c r="O144" s="11"/>
      <c r="P144" s="11"/>
    </row>
    <row r="145" spans="1:16">
      <c r="A145" s="11"/>
      <c r="B145" s="11"/>
      <c r="C145" s="11"/>
      <c r="D145" s="11"/>
      <c r="E145" s="11"/>
      <c r="F145" s="11"/>
      <c r="G145" s="12"/>
      <c r="H145" s="12"/>
      <c r="I145" s="12"/>
      <c r="J145" s="11"/>
      <c r="K145" s="9">
        <f>IF(H145="","",IF(I145="",TODAY()-H145,I145-H145))</f>
        <v/>
      </c>
      <c r="L145" s="10">
        <f>IF(AND(ISNUMBER(G145),H145="",TODAY()&gt;G145),"LATE","")</f>
        <v/>
      </c>
      <c r="M145" s="11"/>
      <c r="N145" s="11"/>
      <c r="O145" s="11"/>
      <c r="P145" s="11"/>
    </row>
    <row r="146" spans="1:16">
      <c r="A146" s="11"/>
      <c r="B146" s="11"/>
      <c r="C146" s="11"/>
      <c r="D146" s="11"/>
      <c r="E146" s="11"/>
      <c r="F146" s="11"/>
      <c r="G146" s="12"/>
      <c r="H146" s="12"/>
      <c r="I146" s="12"/>
      <c r="J146" s="11"/>
      <c r="K146" s="9">
        <f>IF(H146="","",IF(I146="",TODAY()-H146,I146-H146))</f>
        <v/>
      </c>
      <c r="L146" s="10">
        <f>IF(AND(ISNUMBER(G146),H146="",TODAY()&gt;G146),"LATE","")</f>
        <v/>
      </c>
      <c r="M146" s="11"/>
      <c r="N146" s="11"/>
      <c r="O146" s="11"/>
      <c r="P146" s="11"/>
    </row>
    <row r="147" spans="1:16">
      <c r="A147" s="11"/>
      <c r="B147" s="11"/>
      <c r="C147" s="11"/>
      <c r="D147" s="11"/>
      <c r="E147" s="11"/>
      <c r="F147" s="11"/>
      <c r="G147" s="12"/>
      <c r="H147" s="12"/>
      <c r="I147" s="12"/>
      <c r="J147" s="11"/>
      <c r="K147" s="9">
        <f>IF(H147="","",IF(I147="",TODAY()-H147,I147-H147))</f>
        <v/>
      </c>
      <c r="L147" s="10">
        <f>IF(AND(ISNUMBER(G147),H147="",TODAY()&gt;G147),"LATE","")</f>
        <v/>
      </c>
      <c r="M147" s="11"/>
      <c r="N147" s="11"/>
      <c r="O147" s="11"/>
      <c r="P147" s="11"/>
    </row>
    <row r="148" spans="1:16">
      <c r="A148" s="11"/>
      <c r="B148" s="11"/>
      <c r="C148" s="11"/>
      <c r="D148" s="11"/>
      <c r="E148" s="11"/>
      <c r="F148" s="11"/>
      <c r="G148" s="12"/>
      <c r="H148" s="12"/>
      <c r="I148" s="12"/>
      <c r="J148" s="11"/>
      <c r="K148" s="9">
        <f>IF(H148="","",IF(I148="",TODAY()-H148,I148-H148))</f>
        <v/>
      </c>
      <c r="L148" s="10">
        <f>IF(AND(ISNUMBER(G148),H148="",TODAY()&gt;G148),"LATE","")</f>
        <v/>
      </c>
      <c r="M148" s="11"/>
      <c r="N148" s="11"/>
      <c r="O148" s="11"/>
      <c r="P148" s="11"/>
    </row>
    <row r="149" spans="1:16">
      <c r="A149" s="11"/>
      <c r="B149" s="11"/>
      <c r="C149" s="11"/>
      <c r="D149" s="11"/>
      <c r="E149" s="11"/>
      <c r="F149" s="11"/>
      <c r="G149" s="12"/>
      <c r="H149" s="12"/>
      <c r="I149" s="12"/>
      <c r="J149" s="11"/>
      <c r="K149" s="9">
        <f>IF(H149="","",IF(I149="",TODAY()-H149,I149-H149))</f>
        <v/>
      </c>
      <c r="L149" s="10">
        <f>IF(AND(ISNUMBER(G149),H149="",TODAY()&gt;G149),"LATE","")</f>
        <v/>
      </c>
      <c r="M149" s="11"/>
      <c r="N149" s="11"/>
      <c r="O149" s="11"/>
      <c r="P149" s="11"/>
    </row>
    <row r="150" spans="1:16">
      <c r="A150" s="11"/>
      <c r="B150" s="11"/>
      <c r="C150" s="11"/>
      <c r="D150" s="11"/>
      <c r="E150" s="11"/>
      <c r="F150" s="11"/>
      <c r="G150" s="12"/>
      <c r="H150" s="12"/>
      <c r="I150" s="12"/>
      <c r="J150" s="11"/>
      <c r="K150" s="9">
        <f>IF(H150="","",IF(I150="",TODAY()-H150,I150-H150))</f>
        <v/>
      </c>
      <c r="L150" s="10">
        <f>IF(AND(ISNUMBER(G150),H150="",TODAY()&gt;G150),"LATE","")</f>
        <v/>
      </c>
      <c r="M150" s="11"/>
      <c r="N150" s="11"/>
      <c r="O150" s="11"/>
      <c r="P150" s="11"/>
    </row>
    <row r="151" spans="1:16">
      <c r="A151" s="11"/>
      <c r="B151" s="11"/>
      <c r="C151" s="11"/>
      <c r="D151" s="11"/>
      <c r="E151" s="11"/>
      <c r="F151" s="11"/>
      <c r="G151" s="12"/>
      <c r="H151" s="12"/>
      <c r="I151" s="12"/>
      <c r="J151" s="11"/>
      <c r="K151" s="9">
        <f>IF(H151="","",IF(I151="",TODAY()-H151,I151-H151))</f>
        <v/>
      </c>
      <c r="L151" s="10">
        <f>IF(AND(ISNUMBER(G151),H151="",TODAY()&gt;G151),"LATE","")</f>
        <v/>
      </c>
      <c r="M151" s="11"/>
      <c r="N151" s="11"/>
      <c r="O151" s="11"/>
      <c r="P151" s="11"/>
    </row>
    <row r="152" spans="1:16">
      <c r="A152" s="11"/>
      <c r="B152" s="11"/>
      <c r="C152" s="11"/>
      <c r="D152" s="11"/>
      <c r="E152" s="11"/>
      <c r="F152" s="11"/>
      <c r="G152" s="12"/>
      <c r="H152" s="12"/>
      <c r="I152" s="12"/>
      <c r="J152" s="11"/>
      <c r="K152" s="9">
        <f>IF(H152="","",IF(I152="",TODAY()-H152,I152-H152))</f>
        <v/>
      </c>
      <c r="L152" s="10">
        <f>IF(AND(ISNUMBER(G152),H152="",TODAY()&gt;G152),"LATE","")</f>
        <v/>
      </c>
      <c r="M152" s="11"/>
      <c r="N152" s="11"/>
      <c r="O152" s="11"/>
      <c r="P152" s="11"/>
    </row>
    <row r="153" spans="1:16">
      <c r="A153" s="11"/>
      <c r="B153" s="11"/>
      <c r="C153" s="11"/>
      <c r="D153" s="11"/>
      <c r="E153" s="11"/>
      <c r="F153" s="11"/>
      <c r="G153" s="12"/>
      <c r="H153" s="12"/>
      <c r="I153" s="12"/>
      <c r="J153" s="11"/>
      <c r="K153" s="9">
        <f>IF(H153="","",IF(I153="",TODAY()-H153,I153-H153))</f>
        <v/>
      </c>
      <c r="L153" s="10">
        <f>IF(AND(ISNUMBER(G153),H153="",TODAY()&gt;G153),"LATE","")</f>
        <v/>
      </c>
      <c r="M153" s="11"/>
      <c r="N153" s="11"/>
      <c r="O153" s="11"/>
      <c r="P153" s="11"/>
    </row>
    <row r="154" spans="1:16">
      <c r="A154" s="11"/>
      <c r="B154" s="11"/>
      <c r="C154" s="11"/>
      <c r="D154" s="11"/>
      <c r="E154" s="11"/>
      <c r="F154" s="11"/>
      <c r="G154" s="12"/>
      <c r="H154" s="12"/>
      <c r="I154" s="12"/>
      <c r="J154" s="11"/>
      <c r="K154" s="9">
        <f>IF(H154="","",IF(I154="",TODAY()-H154,I154-H154))</f>
        <v/>
      </c>
      <c r="L154" s="10">
        <f>IF(AND(ISNUMBER(G154),H154="",TODAY()&gt;G154),"LATE","")</f>
        <v/>
      </c>
      <c r="M154" s="11"/>
      <c r="N154" s="11"/>
      <c r="O154" s="11"/>
      <c r="P154" s="11"/>
    </row>
    <row r="155" spans="1:16">
      <c r="A155" s="11"/>
      <c r="B155" s="11"/>
      <c r="C155" s="11"/>
      <c r="D155" s="11"/>
      <c r="E155" s="11"/>
      <c r="F155" s="11"/>
      <c r="G155" s="12"/>
      <c r="H155" s="12"/>
      <c r="I155" s="12"/>
      <c r="J155" s="11"/>
      <c r="K155" s="9">
        <f>IF(H155="","",IF(I155="",TODAY()-H155,I155-H155))</f>
        <v/>
      </c>
      <c r="L155" s="10">
        <f>IF(AND(ISNUMBER(G155),H155="",TODAY()&gt;G155),"LATE","")</f>
        <v/>
      </c>
      <c r="M155" s="11"/>
      <c r="N155" s="11"/>
      <c r="O155" s="11"/>
      <c r="P155" s="11"/>
    </row>
    <row r="156" spans="1:16">
      <c r="A156" s="11"/>
      <c r="B156" s="11"/>
      <c r="C156" s="11"/>
      <c r="D156" s="11"/>
      <c r="E156" s="11"/>
      <c r="F156" s="11"/>
      <c r="G156" s="12"/>
      <c r="H156" s="12"/>
      <c r="I156" s="12"/>
      <c r="J156" s="11"/>
      <c r="K156" s="9">
        <f>IF(H156="","",IF(I156="",TODAY()-H156,I156-H156))</f>
        <v/>
      </c>
      <c r="L156" s="10">
        <f>IF(AND(ISNUMBER(G156),H156="",TODAY()&gt;G156),"LATE","")</f>
        <v/>
      </c>
      <c r="M156" s="11"/>
      <c r="N156" s="11"/>
      <c r="O156" s="11"/>
      <c r="P156" s="11"/>
    </row>
    <row r="157" spans="1:16">
      <c r="A157" s="11"/>
      <c r="B157" s="11"/>
      <c r="C157" s="11"/>
      <c r="D157" s="11"/>
      <c r="E157" s="11"/>
      <c r="F157" s="11"/>
      <c r="G157" s="12"/>
      <c r="H157" s="12"/>
      <c r="I157" s="12"/>
      <c r="J157" s="11"/>
      <c r="K157" s="9">
        <f>IF(H157="","",IF(I157="",TODAY()-H157,I157-H157))</f>
        <v/>
      </c>
      <c r="L157" s="10">
        <f>IF(AND(ISNUMBER(G157),H157="",TODAY()&gt;G157),"LATE","")</f>
        <v/>
      </c>
      <c r="M157" s="11"/>
      <c r="N157" s="11"/>
      <c r="O157" s="11"/>
      <c r="P157" s="11"/>
    </row>
    <row r="158" spans="1:16">
      <c r="A158" s="11"/>
      <c r="B158" s="11"/>
      <c r="C158" s="11"/>
      <c r="D158" s="11"/>
      <c r="E158" s="11"/>
      <c r="F158" s="11"/>
      <c r="G158" s="12"/>
      <c r="H158" s="12"/>
      <c r="I158" s="12"/>
      <c r="J158" s="11"/>
      <c r="K158" s="9">
        <f>IF(H158="","",IF(I158="",TODAY()-H158,I158-H158))</f>
        <v/>
      </c>
      <c r="L158" s="10">
        <f>IF(AND(ISNUMBER(G158),H158="",TODAY()&gt;G158),"LATE","")</f>
        <v/>
      </c>
      <c r="M158" s="11"/>
      <c r="N158" s="11"/>
      <c r="O158" s="11"/>
      <c r="P158" s="11"/>
    </row>
    <row r="159" spans="1:16">
      <c r="A159" s="11"/>
      <c r="B159" s="11"/>
      <c r="C159" s="11"/>
      <c r="D159" s="11"/>
      <c r="E159" s="11"/>
      <c r="F159" s="11"/>
      <c r="G159" s="12"/>
      <c r="H159" s="12"/>
      <c r="I159" s="12"/>
      <c r="J159" s="11"/>
      <c r="K159" s="9">
        <f>IF(H159="","",IF(I159="",TODAY()-H159,I159-H159))</f>
        <v/>
      </c>
      <c r="L159" s="10">
        <f>IF(AND(ISNUMBER(G159),H159="",TODAY()&gt;G159),"LATE","")</f>
        <v/>
      </c>
      <c r="M159" s="11"/>
      <c r="N159" s="11"/>
      <c r="O159" s="11"/>
      <c r="P159" s="11"/>
    </row>
    <row r="160" spans="1:16">
      <c r="A160" s="11"/>
      <c r="B160" s="11"/>
      <c r="C160" s="11"/>
      <c r="D160" s="11"/>
      <c r="E160" s="11"/>
      <c r="F160" s="11"/>
      <c r="G160" s="12"/>
      <c r="H160" s="12"/>
      <c r="I160" s="12"/>
      <c r="J160" s="11"/>
      <c r="K160" s="9">
        <f>IF(H160="","",IF(I160="",TODAY()-H160,I160-H160))</f>
        <v/>
      </c>
      <c r="L160" s="10">
        <f>IF(AND(ISNUMBER(G160),H160="",TODAY()&gt;G160),"LATE","")</f>
        <v/>
      </c>
      <c r="M160" s="11"/>
      <c r="N160" s="11"/>
      <c r="O160" s="11"/>
      <c r="P160" s="11"/>
    </row>
    <row r="161" spans="1:16">
      <c r="A161" s="11"/>
      <c r="B161" s="11"/>
      <c r="C161" s="11"/>
      <c r="D161" s="11"/>
      <c r="E161" s="11"/>
      <c r="F161" s="11"/>
      <c r="G161" s="12"/>
      <c r="H161" s="12"/>
      <c r="I161" s="12"/>
      <c r="J161" s="11"/>
      <c r="K161" s="9">
        <f>IF(H161="","",IF(I161="",TODAY()-H161,I161-H161))</f>
        <v/>
      </c>
      <c r="L161" s="10">
        <f>IF(AND(ISNUMBER(G161),H161="",TODAY()&gt;G161),"LATE","")</f>
        <v/>
      </c>
      <c r="M161" s="11"/>
      <c r="N161" s="11"/>
      <c r="O161" s="11"/>
      <c r="P161" s="11"/>
    </row>
    <row r="162" spans="1:16">
      <c r="A162" s="11"/>
      <c r="B162" s="11"/>
      <c r="C162" s="11"/>
      <c r="D162" s="11"/>
      <c r="E162" s="11"/>
      <c r="F162" s="11"/>
      <c r="G162" s="12"/>
      <c r="H162" s="12"/>
      <c r="I162" s="12"/>
      <c r="J162" s="11"/>
      <c r="K162" s="9">
        <f>IF(H162="","",IF(I162="",TODAY()-H162,I162-H162))</f>
        <v/>
      </c>
      <c r="L162" s="10">
        <f>IF(AND(ISNUMBER(G162),H162="",TODAY()&gt;G162),"LATE","")</f>
        <v/>
      </c>
      <c r="M162" s="11"/>
      <c r="N162" s="11"/>
      <c r="O162" s="11"/>
      <c r="P162" s="11"/>
    </row>
    <row r="163" spans="1:16">
      <c r="A163" s="11"/>
      <c r="B163" s="11"/>
      <c r="C163" s="11"/>
      <c r="D163" s="11"/>
      <c r="E163" s="11"/>
      <c r="F163" s="11"/>
      <c r="G163" s="12"/>
      <c r="H163" s="12"/>
      <c r="I163" s="12"/>
      <c r="J163" s="11"/>
      <c r="K163" s="9">
        <f>IF(H163="","",IF(I163="",TODAY()-H163,I163-H163))</f>
        <v/>
      </c>
      <c r="L163" s="10">
        <f>IF(AND(ISNUMBER(G163),H163="",TODAY()&gt;G163),"LATE","")</f>
        <v/>
      </c>
      <c r="M163" s="11"/>
      <c r="N163" s="11"/>
      <c r="O163" s="11"/>
      <c r="P163" s="11"/>
    </row>
    <row r="164" spans="1:16">
      <c r="A164" s="11"/>
      <c r="B164" s="11"/>
      <c r="C164" s="11"/>
      <c r="D164" s="11"/>
      <c r="E164" s="11"/>
      <c r="F164" s="11"/>
      <c r="G164" s="12"/>
      <c r="H164" s="12"/>
      <c r="I164" s="12"/>
      <c r="J164" s="11"/>
      <c r="K164" s="9">
        <f>IF(H164="","",IF(I164="",TODAY()-H164,I164-H164))</f>
        <v/>
      </c>
      <c r="L164" s="10">
        <f>IF(AND(ISNUMBER(G164),H164="",TODAY()&gt;G164),"LATE","")</f>
        <v/>
      </c>
      <c r="M164" s="11"/>
      <c r="N164" s="11"/>
      <c r="O164" s="11"/>
      <c r="P164" s="11"/>
    </row>
    <row r="165" spans="1:16">
      <c r="A165" s="11"/>
      <c r="B165" s="11"/>
      <c r="C165" s="11"/>
      <c r="D165" s="11"/>
      <c r="E165" s="11"/>
      <c r="F165" s="11"/>
      <c r="G165" s="12"/>
      <c r="H165" s="12"/>
      <c r="I165" s="12"/>
      <c r="J165" s="11"/>
      <c r="K165" s="9">
        <f>IF(H165="","",IF(I165="",TODAY()-H165,I165-H165))</f>
        <v/>
      </c>
      <c r="L165" s="10">
        <f>IF(AND(ISNUMBER(G165),H165="",TODAY()&gt;G165),"LATE","")</f>
        <v/>
      </c>
      <c r="M165" s="11"/>
      <c r="N165" s="11"/>
      <c r="O165" s="11"/>
      <c r="P165" s="11"/>
    </row>
    <row r="166" spans="1:16">
      <c r="A166" s="11"/>
      <c r="B166" s="11"/>
      <c r="C166" s="11"/>
      <c r="D166" s="11"/>
      <c r="E166" s="11"/>
      <c r="F166" s="11"/>
      <c r="G166" s="12"/>
      <c r="H166" s="12"/>
      <c r="I166" s="12"/>
      <c r="J166" s="11"/>
      <c r="K166" s="9">
        <f>IF(H166="","",IF(I166="",TODAY()-H166,I166-H166))</f>
        <v/>
      </c>
      <c r="L166" s="10">
        <f>IF(AND(ISNUMBER(G166),H166="",TODAY()&gt;G166),"LATE","")</f>
        <v/>
      </c>
      <c r="M166" s="11"/>
      <c r="N166" s="11"/>
      <c r="O166" s="11"/>
      <c r="P166" s="11"/>
    </row>
    <row r="167" spans="1:16">
      <c r="A167" s="11"/>
      <c r="B167" s="11"/>
      <c r="C167" s="11"/>
      <c r="D167" s="11"/>
      <c r="E167" s="11"/>
      <c r="F167" s="11"/>
      <c r="G167" s="12"/>
      <c r="H167" s="12"/>
      <c r="I167" s="12"/>
      <c r="J167" s="11"/>
      <c r="K167" s="9">
        <f>IF(H167="","",IF(I167="",TODAY()-H167,I167-H167))</f>
        <v/>
      </c>
      <c r="L167" s="10">
        <f>IF(AND(ISNUMBER(G167),H167="",TODAY()&gt;G167),"LATE","")</f>
        <v/>
      </c>
      <c r="M167" s="11"/>
      <c r="N167" s="11"/>
      <c r="O167" s="11"/>
      <c r="P167" s="11"/>
    </row>
    <row r="168" spans="1:16">
      <c r="A168" s="11"/>
      <c r="B168" s="11"/>
      <c r="C168" s="11"/>
      <c r="D168" s="11"/>
      <c r="E168" s="11"/>
      <c r="F168" s="11"/>
      <c r="G168" s="12"/>
      <c r="H168" s="12"/>
      <c r="I168" s="12"/>
      <c r="J168" s="11"/>
      <c r="K168" s="9">
        <f>IF(H168="","",IF(I168="",TODAY()-H168,I168-H168))</f>
        <v/>
      </c>
      <c r="L168" s="10">
        <f>IF(AND(ISNUMBER(G168),H168="",TODAY()&gt;G168),"LATE","")</f>
        <v/>
      </c>
      <c r="M168" s="11"/>
      <c r="N168" s="11"/>
      <c r="O168" s="11"/>
      <c r="P168" s="11"/>
    </row>
    <row r="169" spans="1:16">
      <c r="A169" s="11"/>
      <c r="B169" s="11"/>
      <c r="C169" s="11"/>
      <c r="D169" s="11"/>
      <c r="E169" s="11"/>
      <c r="F169" s="11"/>
      <c r="G169" s="12"/>
      <c r="H169" s="12"/>
      <c r="I169" s="12"/>
      <c r="J169" s="11"/>
      <c r="K169" s="9">
        <f>IF(H169="","",IF(I169="",TODAY()-H169,I169-H169))</f>
        <v/>
      </c>
      <c r="L169" s="10">
        <f>IF(AND(ISNUMBER(G169),H169="",TODAY()&gt;G169),"LATE","")</f>
        <v/>
      </c>
      <c r="M169" s="11"/>
      <c r="N169" s="11"/>
      <c r="O169" s="11"/>
      <c r="P169" s="11"/>
    </row>
    <row r="170" spans="1:16">
      <c r="A170" s="11"/>
      <c r="B170" s="11"/>
      <c r="C170" s="11"/>
      <c r="D170" s="11"/>
      <c r="E170" s="11"/>
      <c r="F170" s="11"/>
      <c r="G170" s="12"/>
      <c r="H170" s="12"/>
      <c r="I170" s="12"/>
      <c r="J170" s="11"/>
      <c r="K170" s="9">
        <f>IF(H170="","",IF(I170="",TODAY()-H170,I170-H170))</f>
        <v/>
      </c>
      <c r="L170" s="10">
        <f>IF(AND(ISNUMBER(G170),H170="",TODAY()&gt;G170),"LATE","")</f>
        <v/>
      </c>
      <c r="M170" s="11"/>
      <c r="N170" s="11"/>
      <c r="O170" s="11"/>
      <c r="P170" s="11"/>
    </row>
    <row r="171" spans="1:16">
      <c r="A171" s="11"/>
      <c r="B171" s="11"/>
      <c r="C171" s="11"/>
      <c r="D171" s="11"/>
      <c r="E171" s="11"/>
      <c r="F171" s="11"/>
      <c r="G171" s="12"/>
      <c r="H171" s="12"/>
      <c r="I171" s="12"/>
      <c r="J171" s="11"/>
      <c r="K171" s="9">
        <f>IF(H171="","",IF(I171="",TODAY()-H171,I171-H171))</f>
        <v/>
      </c>
      <c r="L171" s="10">
        <f>IF(AND(ISNUMBER(G171),H171="",TODAY()&gt;G171),"LATE","")</f>
        <v/>
      </c>
      <c r="M171" s="11"/>
      <c r="N171" s="11"/>
      <c r="O171" s="11"/>
      <c r="P171" s="11"/>
    </row>
    <row r="172" spans="1:16">
      <c r="A172" s="11"/>
      <c r="B172" s="11"/>
      <c r="C172" s="11"/>
      <c r="D172" s="11"/>
      <c r="E172" s="11"/>
      <c r="F172" s="11"/>
      <c r="G172" s="12"/>
      <c r="H172" s="12"/>
      <c r="I172" s="12"/>
      <c r="J172" s="11"/>
      <c r="K172" s="9">
        <f>IF(H172="","",IF(I172="",TODAY()-H172,I172-H172))</f>
        <v/>
      </c>
      <c r="L172" s="10">
        <f>IF(AND(ISNUMBER(G172),H172="",TODAY()&gt;G172),"LATE","")</f>
        <v/>
      </c>
      <c r="M172" s="11"/>
      <c r="N172" s="11"/>
      <c r="O172" s="11"/>
      <c r="P172" s="11"/>
    </row>
    <row r="173" spans="1:16">
      <c r="A173" s="11"/>
      <c r="B173" s="11"/>
      <c r="C173" s="11"/>
      <c r="D173" s="11"/>
      <c r="E173" s="11"/>
      <c r="F173" s="11"/>
      <c r="G173" s="12"/>
      <c r="H173" s="12"/>
      <c r="I173" s="12"/>
      <c r="J173" s="11"/>
      <c r="K173" s="9">
        <f>IF(H173="","",IF(I173="",TODAY()-H173,I173-H173))</f>
        <v/>
      </c>
      <c r="L173" s="10">
        <f>IF(AND(ISNUMBER(G173),H173="",TODAY()&gt;G173),"LATE","")</f>
        <v/>
      </c>
      <c r="M173" s="11"/>
      <c r="N173" s="11"/>
      <c r="O173" s="11"/>
      <c r="P173" s="11"/>
    </row>
    <row r="174" spans="1:16">
      <c r="A174" s="11"/>
      <c r="B174" s="11"/>
      <c r="C174" s="11"/>
      <c r="D174" s="11"/>
      <c r="E174" s="11"/>
      <c r="F174" s="11"/>
      <c r="G174" s="12"/>
      <c r="H174" s="12"/>
      <c r="I174" s="12"/>
      <c r="J174" s="11"/>
      <c r="K174" s="9">
        <f>IF(H174="","",IF(I174="",TODAY()-H174,I174-H174))</f>
        <v/>
      </c>
      <c r="L174" s="10">
        <f>IF(AND(ISNUMBER(G174),H174="",TODAY()&gt;G174),"LATE","")</f>
        <v/>
      </c>
      <c r="M174" s="11"/>
      <c r="N174" s="11"/>
      <c r="O174" s="11"/>
      <c r="P174" s="11"/>
    </row>
    <row r="175" spans="1:16">
      <c r="A175" s="11"/>
      <c r="B175" s="11"/>
      <c r="C175" s="11"/>
      <c r="D175" s="11"/>
      <c r="E175" s="11"/>
      <c r="F175" s="11"/>
      <c r="G175" s="12"/>
      <c r="H175" s="12"/>
      <c r="I175" s="12"/>
      <c r="J175" s="11"/>
      <c r="K175" s="9">
        <f>IF(H175="","",IF(I175="",TODAY()-H175,I175-H175))</f>
        <v/>
      </c>
      <c r="L175" s="10">
        <f>IF(AND(ISNUMBER(G175),H175="",TODAY()&gt;G175),"LATE","")</f>
        <v/>
      </c>
      <c r="M175" s="11"/>
      <c r="N175" s="11"/>
      <c r="O175" s="11"/>
      <c r="P175" s="11"/>
    </row>
    <row r="176" spans="1:16">
      <c r="A176" s="11"/>
      <c r="B176" s="11"/>
      <c r="C176" s="11"/>
      <c r="D176" s="11"/>
      <c r="E176" s="11"/>
      <c r="F176" s="11"/>
      <c r="G176" s="12"/>
      <c r="H176" s="12"/>
      <c r="I176" s="12"/>
      <c r="J176" s="11"/>
      <c r="K176" s="9">
        <f>IF(H176="","",IF(I176="",TODAY()-H176,I176-H176))</f>
        <v/>
      </c>
      <c r="L176" s="10">
        <f>IF(AND(ISNUMBER(G176),H176="",TODAY()&gt;G176),"LATE","")</f>
        <v/>
      </c>
      <c r="M176" s="11"/>
      <c r="N176" s="11"/>
      <c r="O176" s="11"/>
      <c r="P176" s="11"/>
    </row>
    <row r="177" spans="1:16">
      <c r="A177" s="11"/>
      <c r="B177" s="11"/>
      <c r="C177" s="11"/>
      <c r="D177" s="11"/>
      <c r="E177" s="11"/>
      <c r="F177" s="11"/>
      <c r="G177" s="12"/>
      <c r="H177" s="12"/>
      <c r="I177" s="12"/>
      <c r="J177" s="11"/>
      <c r="K177" s="9">
        <f>IF(H177="","",IF(I177="",TODAY()-H177,I177-H177))</f>
        <v/>
      </c>
      <c r="L177" s="10">
        <f>IF(AND(ISNUMBER(G177),H177="",TODAY()&gt;G177),"LATE","")</f>
        <v/>
      </c>
      <c r="M177" s="11"/>
      <c r="N177" s="11"/>
      <c r="O177" s="11"/>
      <c r="P177" s="11"/>
    </row>
    <row r="178" spans="1:16">
      <c r="A178" s="11"/>
      <c r="B178" s="11"/>
      <c r="C178" s="11"/>
      <c r="D178" s="11"/>
      <c r="E178" s="11"/>
      <c r="F178" s="11"/>
      <c r="G178" s="12"/>
      <c r="H178" s="12"/>
      <c r="I178" s="12"/>
      <c r="J178" s="11"/>
      <c r="K178" s="9">
        <f>IF(H178="","",IF(I178="",TODAY()-H178,I178-H178))</f>
        <v/>
      </c>
      <c r="L178" s="10">
        <f>IF(AND(ISNUMBER(G178),H178="",TODAY()&gt;G178),"LATE","")</f>
        <v/>
      </c>
      <c r="M178" s="11"/>
      <c r="N178" s="11"/>
      <c r="O178" s="11"/>
      <c r="P178" s="11"/>
    </row>
    <row r="179" spans="1:16">
      <c r="A179" s="11"/>
      <c r="B179" s="11"/>
      <c r="C179" s="11"/>
      <c r="D179" s="11"/>
      <c r="E179" s="11"/>
      <c r="F179" s="11"/>
      <c r="G179" s="12"/>
      <c r="H179" s="12"/>
      <c r="I179" s="12"/>
      <c r="J179" s="11"/>
      <c r="K179" s="9">
        <f>IF(H179="","",IF(I179="",TODAY()-H179,I179-H179))</f>
        <v/>
      </c>
      <c r="L179" s="10">
        <f>IF(AND(ISNUMBER(G179),H179="",TODAY()&gt;G179),"LATE","")</f>
        <v/>
      </c>
      <c r="M179" s="11"/>
      <c r="N179" s="11"/>
      <c r="O179" s="11"/>
      <c r="P179" s="11"/>
    </row>
    <row r="180" spans="1:16">
      <c r="A180" s="11"/>
      <c r="B180" s="11"/>
      <c r="C180" s="11"/>
      <c r="D180" s="11"/>
      <c r="E180" s="11"/>
      <c r="F180" s="11"/>
      <c r="G180" s="12"/>
      <c r="H180" s="12"/>
      <c r="I180" s="12"/>
      <c r="J180" s="11"/>
      <c r="K180" s="9">
        <f>IF(H180="","",IF(I180="",TODAY()-H180,I180-H180))</f>
        <v/>
      </c>
      <c r="L180" s="10">
        <f>IF(AND(ISNUMBER(G180),H180="",TODAY()&gt;G180),"LATE","")</f>
        <v/>
      </c>
      <c r="M180" s="11"/>
      <c r="N180" s="11"/>
      <c r="O180" s="11"/>
      <c r="P180" s="11"/>
    </row>
    <row r="181" spans="1:16">
      <c r="A181" s="11"/>
      <c r="B181" s="11"/>
      <c r="C181" s="11"/>
      <c r="D181" s="11"/>
      <c r="E181" s="11"/>
      <c r="F181" s="11"/>
      <c r="G181" s="12"/>
      <c r="H181" s="12"/>
      <c r="I181" s="12"/>
      <c r="J181" s="11"/>
      <c r="K181" s="9">
        <f>IF(H181="","",IF(I181="",TODAY()-H181,I181-H181))</f>
        <v/>
      </c>
      <c r="L181" s="10">
        <f>IF(AND(ISNUMBER(G181),H181="",TODAY()&gt;G181),"LATE","")</f>
        <v/>
      </c>
      <c r="M181" s="11"/>
      <c r="N181" s="11"/>
      <c r="O181" s="11"/>
      <c r="P181" s="11"/>
    </row>
    <row r="182" spans="1:16">
      <c r="A182" s="11"/>
      <c r="B182" s="11"/>
      <c r="C182" s="11"/>
      <c r="D182" s="11"/>
      <c r="E182" s="11"/>
      <c r="F182" s="11"/>
      <c r="G182" s="12"/>
      <c r="H182" s="12"/>
      <c r="I182" s="12"/>
      <c r="J182" s="11"/>
      <c r="K182" s="9">
        <f>IF(H182="","",IF(I182="",TODAY()-H182,I182-H182))</f>
        <v/>
      </c>
      <c r="L182" s="10">
        <f>IF(AND(ISNUMBER(G182),H182="",TODAY()&gt;G182),"LATE","")</f>
        <v/>
      </c>
      <c r="M182" s="11"/>
      <c r="N182" s="11"/>
      <c r="O182" s="11"/>
      <c r="P182" s="11"/>
    </row>
    <row r="183" spans="1:16">
      <c r="A183" s="11"/>
      <c r="B183" s="11"/>
      <c r="C183" s="11"/>
      <c r="D183" s="11"/>
      <c r="E183" s="11"/>
      <c r="F183" s="11"/>
      <c r="G183" s="12"/>
      <c r="H183" s="12"/>
      <c r="I183" s="12"/>
      <c r="J183" s="11"/>
      <c r="K183" s="9">
        <f>IF(H183="","",IF(I183="",TODAY()-H183,I183-H183))</f>
        <v/>
      </c>
      <c r="L183" s="10">
        <f>IF(AND(ISNUMBER(G183),H183="",TODAY()&gt;G183),"LATE","")</f>
        <v/>
      </c>
      <c r="M183" s="11"/>
      <c r="N183" s="11"/>
      <c r="O183" s="11"/>
      <c r="P183" s="11"/>
    </row>
    <row r="184" spans="1:16">
      <c r="A184" s="11"/>
      <c r="B184" s="11"/>
      <c r="C184" s="11"/>
      <c r="D184" s="11"/>
      <c r="E184" s="11"/>
      <c r="F184" s="11"/>
      <c r="G184" s="12"/>
      <c r="H184" s="12"/>
      <c r="I184" s="12"/>
      <c r="J184" s="11"/>
      <c r="K184" s="9">
        <f>IF(H184="","",IF(I184="",TODAY()-H184,I184-H184))</f>
        <v/>
      </c>
      <c r="L184" s="10">
        <f>IF(AND(ISNUMBER(G184),H184="",TODAY()&gt;G184),"LATE","")</f>
        <v/>
      </c>
      <c r="M184" s="11"/>
      <c r="N184" s="11"/>
      <c r="O184" s="11"/>
      <c r="P184" s="11"/>
    </row>
    <row r="185" spans="1:16">
      <c r="A185" s="11"/>
      <c r="B185" s="11"/>
      <c r="C185" s="11"/>
      <c r="D185" s="11"/>
      <c r="E185" s="11"/>
      <c r="F185" s="11"/>
      <c r="G185" s="12"/>
      <c r="H185" s="12"/>
      <c r="I185" s="12"/>
      <c r="J185" s="11"/>
      <c r="K185" s="9">
        <f>IF(H185="","",IF(I185="",TODAY()-H185,I185-H185))</f>
        <v/>
      </c>
      <c r="L185" s="10">
        <f>IF(AND(ISNUMBER(G185),H185="",TODAY()&gt;G185),"LATE","")</f>
        <v/>
      </c>
      <c r="M185" s="11"/>
      <c r="N185" s="11"/>
      <c r="O185" s="11"/>
      <c r="P185" s="11"/>
    </row>
    <row r="186" spans="1:16">
      <c r="A186" s="11"/>
      <c r="B186" s="11"/>
      <c r="C186" s="11"/>
      <c r="D186" s="11"/>
      <c r="E186" s="11"/>
      <c r="F186" s="11"/>
      <c r="G186" s="12"/>
      <c r="H186" s="12"/>
      <c r="I186" s="12"/>
      <c r="J186" s="11"/>
      <c r="K186" s="9">
        <f>IF(H186="","",IF(I186="",TODAY()-H186,I186-H186))</f>
        <v/>
      </c>
      <c r="L186" s="10">
        <f>IF(AND(ISNUMBER(G186),H186="",TODAY()&gt;G186),"LATE","")</f>
        <v/>
      </c>
      <c r="M186" s="11"/>
      <c r="N186" s="11"/>
      <c r="O186" s="11"/>
      <c r="P186" s="11"/>
    </row>
    <row r="187" spans="1:16">
      <c r="A187" s="11"/>
      <c r="B187" s="11"/>
      <c r="C187" s="11"/>
      <c r="D187" s="11"/>
      <c r="E187" s="11"/>
      <c r="F187" s="11"/>
      <c r="G187" s="12"/>
      <c r="H187" s="12"/>
      <c r="I187" s="12"/>
      <c r="J187" s="11"/>
      <c r="K187" s="9">
        <f>IF(H187="","",IF(I187="",TODAY()-H187,I187-H187))</f>
        <v/>
      </c>
      <c r="L187" s="10">
        <f>IF(AND(ISNUMBER(G187),H187="",TODAY()&gt;G187),"LATE","")</f>
        <v/>
      </c>
      <c r="M187" s="11"/>
      <c r="N187" s="11"/>
      <c r="O187" s="11"/>
      <c r="P187" s="11"/>
    </row>
    <row r="188" spans="1:16">
      <c r="A188" s="11"/>
      <c r="B188" s="11"/>
      <c r="C188" s="11"/>
      <c r="D188" s="11"/>
      <c r="E188" s="11"/>
      <c r="F188" s="11"/>
      <c r="G188" s="12"/>
      <c r="H188" s="12"/>
      <c r="I188" s="12"/>
      <c r="J188" s="11"/>
      <c r="K188" s="9">
        <f>IF(H188="","",IF(I188="",TODAY()-H188,I188-H188))</f>
        <v/>
      </c>
      <c r="L188" s="10">
        <f>IF(AND(ISNUMBER(G188),H188="",TODAY()&gt;G188),"LATE","")</f>
        <v/>
      </c>
      <c r="M188" s="11"/>
      <c r="N188" s="11"/>
      <c r="O188" s="11"/>
      <c r="P188" s="11"/>
    </row>
    <row r="189" spans="1:16">
      <c r="A189" s="11"/>
      <c r="B189" s="11"/>
      <c r="C189" s="11"/>
      <c r="D189" s="11"/>
      <c r="E189" s="11"/>
      <c r="F189" s="11"/>
      <c r="G189" s="12"/>
      <c r="H189" s="12"/>
      <c r="I189" s="12"/>
      <c r="J189" s="11"/>
      <c r="K189" s="9">
        <f>IF(H189="","",IF(I189="",TODAY()-H189,I189-H189))</f>
        <v/>
      </c>
      <c r="L189" s="10">
        <f>IF(AND(ISNUMBER(G189),H189="",TODAY()&gt;G189),"LATE","")</f>
        <v/>
      </c>
      <c r="M189" s="11"/>
      <c r="N189" s="11"/>
      <c r="O189" s="11"/>
      <c r="P189" s="11"/>
    </row>
    <row r="190" spans="1:16">
      <c r="A190" s="11"/>
      <c r="B190" s="11"/>
      <c r="C190" s="11"/>
      <c r="D190" s="11"/>
      <c r="E190" s="11"/>
      <c r="F190" s="11"/>
      <c r="G190" s="12"/>
      <c r="H190" s="12"/>
      <c r="I190" s="12"/>
      <c r="J190" s="11"/>
      <c r="K190" s="9">
        <f>IF(H190="","",IF(I190="",TODAY()-H190,I190-H190))</f>
        <v/>
      </c>
      <c r="L190" s="10">
        <f>IF(AND(ISNUMBER(G190),H190="",TODAY()&gt;G190),"LATE","")</f>
        <v/>
      </c>
      <c r="M190" s="11"/>
      <c r="N190" s="11"/>
      <c r="O190" s="11"/>
      <c r="P190" s="11"/>
    </row>
    <row r="191" spans="1:16">
      <c r="A191" s="11"/>
      <c r="B191" s="11"/>
      <c r="C191" s="11"/>
      <c r="D191" s="11"/>
      <c r="E191" s="11"/>
      <c r="F191" s="11"/>
      <c r="G191" s="12"/>
      <c r="H191" s="12"/>
      <c r="I191" s="12"/>
      <c r="J191" s="11"/>
      <c r="K191" s="9">
        <f>IF(H191="","",IF(I191="",TODAY()-H191,I191-H191))</f>
        <v/>
      </c>
      <c r="L191" s="10">
        <f>IF(AND(ISNUMBER(G191),H191="",TODAY()&gt;G191),"LATE","")</f>
        <v/>
      </c>
      <c r="M191" s="11"/>
      <c r="N191" s="11"/>
      <c r="O191" s="11"/>
      <c r="P191" s="11"/>
    </row>
    <row r="192" spans="1:16">
      <c r="A192" s="11"/>
      <c r="B192" s="11"/>
      <c r="C192" s="11"/>
      <c r="D192" s="11"/>
      <c r="E192" s="11"/>
      <c r="F192" s="11"/>
      <c r="G192" s="12"/>
      <c r="H192" s="12"/>
      <c r="I192" s="12"/>
      <c r="J192" s="11"/>
      <c r="K192" s="9">
        <f>IF(H192="","",IF(I192="",TODAY()-H192,I192-H192))</f>
        <v/>
      </c>
      <c r="L192" s="10">
        <f>IF(AND(ISNUMBER(G192),H192="",TODAY()&gt;G192),"LATE","")</f>
        <v/>
      </c>
      <c r="M192" s="11"/>
      <c r="N192" s="11"/>
      <c r="O192" s="11"/>
      <c r="P192" s="11"/>
    </row>
    <row r="193" spans="1:16">
      <c r="A193" s="11"/>
      <c r="B193" s="11"/>
      <c r="C193" s="11"/>
      <c r="D193" s="11"/>
      <c r="E193" s="11"/>
      <c r="F193" s="11"/>
      <c r="G193" s="12"/>
      <c r="H193" s="12"/>
      <c r="I193" s="12"/>
      <c r="J193" s="11"/>
      <c r="K193" s="9">
        <f>IF(H193="","",IF(I193="",TODAY()-H193,I193-H193))</f>
        <v/>
      </c>
      <c r="L193" s="10">
        <f>IF(AND(ISNUMBER(G193),H193="",TODAY()&gt;G193),"LATE","")</f>
        <v/>
      </c>
      <c r="M193" s="11"/>
      <c r="N193" s="11"/>
      <c r="O193" s="11"/>
      <c r="P193" s="11"/>
    </row>
    <row r="194" spans="1:16">
      <c r="A194" s="11"/>
      <c r="B194" s="11"/>
      <c r="C194" s="11"/>
      <c r="D194" s="11"/>
      <c r="E194" s="11"/>
      <c r="F194" s="11"/>
      <c r="G194" s="12"/>
      <c r="H194" s="12"/>
      <c r="I194" s="12"/>
      <c r="J194" s="11"/>
      <c r="K194" s="9">
        <f>IF(H194="","",IF(I194="",TODAY()-H194,I194-H194))</f>
        <v/>
      </c>
      <c r="L194" s="10">
        <f>IF(AND(ISNUMBER(G194),H194="",TODAY()&gt;G194),"LATE","")</f>
        <v/>
      </c>
      <c r="M194" s="11"/>
      <c r="N194" s="11"/>
      <c r="O194" s="11"/>
      <c r="P194" s="11"/>
    </row>
    <row r="195" spans="1:16">
      <c r="A195" s="11"/>
      <c r="B195" s="11"/>
      <c r="C195" s="11"/>
      <c r="D195" s="11"/>
      <c r="E195" s="11"/>
      <c r="F195" s="11"/>
      <c r="G195" s="12"/>
      <c r="H195" s="12"/>
      <c r="I195" s="12"/>
      <c r="J195" s="11"/>
      <c r="K195" s="9">
        <f>IF(H195="","",IF(I195="",TODAY()-H195,I195-H195))</f>
        <v/>
      </c>
      <c r="L195" s="10">
        <f>IF(AND(ISNUMBER(G195),H195="",TODAY()&gt;G195),"LATE","")</f>
        <v/>
      </c>
      <c r="M195" s="11"/>
      <c r="N195" s="11"/>
      <c r="O195" s="11"/>
      <c r="P195" s="11"/>
    </row>
    <row r="196" spans="1:16">
      <c r="A196" s="11"/>
      <c r="B196" s="11"/>
      <c r="C196" s="11"/>
      <c r="D196" s="11"/>
      <c r="E196" s="11"/>
      <c r="F196" s="11"/>
      <c r="G196" s="12"/>
      <c r="H196" s="12"/>
      <c r="I196" s="12"/>
      <c r="J196" s="11"/>
      <c r="K196" s="9">
        <f>IF(H196="","",IF(I196="",TODAY()-H196,I196-H196))</f>
        <v/>
      </c>
      <c r="L196" s="10">
        <f>IF(AND(ISNUMBER(G196),H196="",TODAY()&gt;G196),"LATE","")</f>
        <v/>
      </c>
      <c r="M196" s="11"/>
      <c r="N196" s="11"/>
      <c r="O196" s="11"/>
      <c r="P196" s="11"/>
    </row>
    <row r="197" spans="1:16">
      <c r="A197" s="11"/>
      <c r="B197" s="11"/>
      <c r="C197" s="11"/>
      <c r="D197" s="11"/>
      <c r="E197" s="11"/>
      <c r="F197" s="11"/>
      <c r="G197" s="12"/>
      <c r="H197" s="12"/>
      <c r="I197" s="12"/>
      <c r="J197" s="11"/>
      <c r="K197" s="9">
        <f>IF(H197="","",IF(I197="",TODAY()-H197,I197-H197))</f>
        <v/>
      </c>
      <c r="L197" s="10">
        <f>IF(AND(ISNUMBER(G197),H197="",TODAY()&gt;G197),"LATE","")</f>
        <v/>
      </c>
      <c r="M197" s="11"/>
      <c r="N197" s="11"/>
      <c r="O197" s="11"/>
      <c r="P197" s="11"/>
    </row>
    <row r="198" spans="1:16">
      <c r="A198" s="11"/>
      <c r="B198" s="11"/>
      <c r="C198" s="11"/>
      <c r="D198" s="11"/>
      <c r="E198" s="11"/>
      <c r="F198" s="11"/>
      <c r="G198" s="12"/>
      <c r="H198" s="12"/>
      <c r="I198" s="12"/>
      <c r="J198" s="11"/>
      <c r="K198" s="9">
        <f>IF(H198="","",IF(I198="",TODAY()-H198,I198-H198))</f>
        <v/>
      </c>
      <c r="L198" s="10">
        <f>IF(AND(ISNUMBER(G198),H198="",TODAY()&gt;G198),"LATE","")</f>
        <v/>
      </c>
      <c r="M198" s="11"/>
      <c r="N198" s="11"/>
      <c r="O198" s="11"/>
      <c r="P198" s="11"/>
    </row>
    <row r="199" spans="1:16">
      <c r="A199" s="11"/>
      <c r="B199" s="11"/>
      <c r="C199" s="11"/>
      <c r="D199" s="11"/>
      <c r="E199" s="11"/>
      <c r="F199" s="11"/>
      <c r="G199" s="12"/>
      <c r="H199" s="12"/>
      <c r="I199" s="12"/>
      <c r="J199" s="11"/>
      <c r="K199" s="9">
        <f>IF(H199="","",IF(I199="",TODAY()-H199,I199-H199))</f>
        <v/>
      </c>
      <c r="L199" s="10">
        <f>IF(AND(ISNUMBER(G199),H199="",TODAY()&gt;G199),"LATE","")</f>
        <v/>
      </c>
      <c r="M199" s="11"/>
      <c r="N199" s="11"/>
      <c r="O199" s="11"/>
      <c r="P199" s="11"/>
    </row>
    <row r="200" spans="1:16">
      <c r="A200" s="11"/>
      <c r="B200" s="11"/>
      <c r="C200" s="11"/>
      <c r="D200" s="11"/>
      <c r="E200" s="11"/>
      <c r="F200" s="11"/>
      <c r="G200" s="12"/>
      <c r="H200" s="12"/>
      <c r="I200" s="12"/>
      <c r="J200" s="11"/>
      <c r="K200" s="9">
        <f>IF(H200="","",IF(I200="",TODAY()-H200,I200-H200))</f>
        <v/>
      </c>
      <c r="L200" s="10">
        <f>IF(AND(ISNUMBER(G200),H200="",TODAY()&gt;G200),"LATE","")</f>
        <v/>
      </c>
      <c r="M200" s="11"/>
      <c r="N200" s="11"/>
      <c r="O200" s="11"/>
      <c r="P200" s="11"/>
    </row>
    <row r="201" spans="1:16">
      <c r="A201" s="11"/>
      <c r="B201" s="11"/>
      <c r="C201" s="11"/>
      <c r="D201" s="11"/>
      <c r="E201" s="11"/>
      <c r="F201" s="11"/>
      <c r="G201" s="12"/>
      <c r="H201" s="12"/>
      <c r="I201" s="12"/>
      <c r="J201" s="11"/>
      <c r="K201" s="9">
        <f>IF(H201="","",IF(I201="",TODAY()-H201,I201-H201))</f>
        <v/>
      </c>
      <c r="L201" s="10">
        <f>IF(AND(ISNUMBER(G201),H201="",TODAY()&gt;G201),"LATE","")</f>
        <v/>
      </c>
      <c r="M201" s="11"/>
      <c r="N201" s="11"/>
      <c r="O201" s="11"/>
      <c r="P201" s="11"/>
    </row>
    <row r="202" spans="1:16">
      <c r="A202" s="11"/>
      <c r="B202" s="11"/>
      <c r="C202" s="11"/>
      <c r="D202" s="11"/>
      <c r="E202" s="11"/>
      <c r="F202" s="11"/>
      <c r="G202" s="12"/>
      <c r="H202" s="12"/>
      <c r="I202" s="12"/>
      <c r="J202" s="11"/>
      <c r="K202" s="9">
        <f>IF(H202="","",IF(I202="",TODAY()-H202,I202-H202))</f>
        <v/>
      </c>
      <c r="L202" s="10">
        <f>IF(AND(ISNUMBER(G202),H202="",TODAY()&gt;G202),"LATE","")</f>
        <v/>
      </c>
      <c r="M202" s="11"/>
      <c r="N202" s="11"/>
      <c r="O202" s="11"/>
      <c r="P202" s="11"/>
    </row>
    <row r="203" spans="1:16">
      <c r="A203" s="11"/>
      <c r="B203" s="11"/>
      <c r="C203" s="11"/>
      <c r="D203" s="11"/>
      <c r="E203" s="11"/>
      <c r="F203" s="11"/>
      <c r="G203" s="12"/>
      <c r="H203" s="12"/>
      <c r="I203" s="12"/>
      <c r="J203" s="11"/>
      <c r="K203" s="9">
        <f>IF(H203="","",IF(I203="",TODAY()-H203,I203-H203))</f>
        <v/>
      </c>
      <c r="L203" s="10">
        <f>IF(AND(ISNUMBER(G203),H203="",TODAY()&gt;G203),"LATE","")</f>
        <v/>
      </c>
      <c r="M203" s="11"/>
      <c r="N203" s="11"/>
      <c r="O203" s="11"/>
      <c r="P203" s="11"/>
    </row>
    <row r="204" spans="1:16">
      <c r="A204" s="11"/>
      <c r="B204" s="11"/>
      <c r="C204" s="11"/>
      <c r="D204" s="11"/>
      <c r="E204" s="11"/>
      <c r="F204" s="11"/>
      <c r="G204" s="12"/>
      <c r="H204" s="12"/>
      <c r="I204" s="12"/>
      <c r="J204" s="11"/>
      <c r="K204" s="9">
        <f>IF(H204="","",IF(I204="",TODAY()-H204,I204-H204))</f>
        <v/>
      </c>
      <c r="L204" s="10">
        <f>IF(AND(ISNUMBER(G204),H204="",TODAY()&gt;G204),"LATE","")</f>
        <v/>
      </c>
      <c r="M204" s="11"/>
      <c r="N204" s="11"/>
      <c r="O204" s="11"/>
      <c r="P204" s="11"/>
    </row>
    <row r="205" spans="1:16">
      <c r="A205" s="11"/>
      <c r="B205" s="11"/>
      <c r="C205" s="11"/>
      <c r="D205" s="11"/>
      <c r="E205" s="11"/>
      <c r="F205" s="11"/>
      <c r="G205" s="12"/>
      <c r="H205" s="12"/>
      <c r="I205" s="12"/>
      <c r="J205" s="11"/>
      <c r="K205" s="9">
        <f>IF(H205="","",IF(I205="",TODAY()-H205,I205-H205))</f>
        <v/>
      </c>
      <c r="L205" s="10">
        <f>IF(AND(ISNUMBER(G205),H205="",TODAY()&gt;G205),"LATE","")</f>
        <v/>
      </c>
      <c r="M205" s="11"/>
      <c r="N205" s="11"/>
      <c r="O205" s="11"/>
      <c r="P205" s="11"/>
    </row>
    <row r="206" spans="1:16">
      <c r="A206" s="11"/>
      <c r="B206" s="11"/>
      <c r="C206" s="11"/>
      <c r="D206" s="11"/>
      <c r="E206" s="11"/>
      <c r="F206" s="11"/>
      <c r="G206" s="12"/>
      <c r="H206" s="12"/>
      <c r="I206" s="12"/>
      <c r="J206" s="11"/>
      <c r="K206" s="9">
        <f>IF(H206="","",IF(I206="",TODAY()-H206,I206-H206))</f>
        <v/>
      </c>
      <c r="L206" s="10">
        <f>IF(AND(ISNUMBER(G206),H206="",TODAY()&gt;G206),"LATE","")</f>
        <v/>
      </c>
      <c r="M206" s="11"/>
      <c r="N206" s="11"/>
      <c r="O206" s="11"/>
      <c r="P206" s="11"/>
    </row>
    <row r="207" spans="1:16">
      <c r="A207" s="11"/>
      <c r="B207" s="11"/>
      <c r="C207" s="11"/>
      <c r="D207" s="11"/>
      <c r="E207" s="11"/>
      <c r="F207" s="11"/>
      <c r="G207" s="12"/>
      <c r="H207" s="12"/>
      <c r="I207" s="12"/>
      <c r="J207" s="11"/>
      <c r="K207" s="9">
        <f>IF(H207="","",IF(I207="",TODAY()-H207,I207-H207))</f>
        <v/>
      </c>
      <c r="L207" s="10">
        <f>IF(AND(ISNUMBER(G207),H207="",TODAY()&gt;G207),"LATE","")</f>
        <v/>
      </c>
      <c r="M207" s="11"/>
      <c r="N207" s="11"/>
      <c r="O207" s="11"/>
      <c r="P207" s="11"/>
    </row>
    <row r="208" spans="1:16">
      <c r="A208" s="11"/>
      <c r="B208" s="11"/>
      <c r="C208" s="11"/>
      <c r="D208" s="11"/>
      <c r="E208" s="11"/>
      <c r="F208" s="11"/>
      <c r="G208" s="12"/>
      <c r="H208" s="12"/>
      <c r="I208" s="12"/>
      <c r="J208" s="11"/>
      <c r="K208" s="9">
        <f>IF(H208="","",IF(I208="",TODAY()-H208,I208-H208))</f>
        <v/>
      </c>
      <c r="L208" s="10">
        <f>IF(AND(ISNUMBER(G208),H208="",TODAY()&gt;G208),"LATE","")</f>
        <v/>
      </c>
      <c r="M208" s="11"/>
      <c r="N208" s="11"/>
      <c r="O208" s="11"/>
      <c r="P208" s="11"/>
    </row>
    <row r="209" spans="1:16">
      <c r="A209" s="11"/>
      <c r="B209" s="11"/>
      <c r="C209" s="11"/>
      <c r="D209" s="11"/>
      <c r="E209" s="11"/>
      <c r="F209" s="11"/>
      <c r="G209" s="12"/>
      <c r="H209" s="12"/>
      <c r="I209" s="12"/>
      <c r="J209" s="11"/>
      <c r="K209" s="9">
        <f>IF(H209="","",IF(I209="",TODAY()-H209,I209-H209))</f>
        <v/>
      </c>
      <c r="L209" s="10">
        <f>IF(AND(ISNUMBER(G209),H209="",TODAY()&gt;G209),"LATE","")</f>
        <v/>
      </c>
      <c r="M209" s="11"/>
      <c r="N209" s="11"/>
      <c r="O209" s="11"/>
      <c r="P209" s="11"/>
    </row>
    <row r="210" spans="1:16">
      <c r="A210" s="11"/>
      <c r="B210" s="11"/>
      <c r="C210" s="11"/>
      <c r="D210" s="11"/>
      <c r="E210" s="11"/>
      <c r="F210" s="11"/>
      <c r="G210" s="12"/>
      <c r="H210" s="12"/>
      <c r="I210" s="12"/>
      <c r="J210" s="11"/>
      <c r="K210" s="9">
        <f>IF(H210="","",IF(I210="",TODAY()-H210,I210-H210))</f>
        <v/>
      </c>
      <c r="L210" s="10">
        <f>IF(AND(ISNUMBER(G210),H210="",TODAY()&gt;G210),"LATE","")</f>
        <v/>
      </c>
      <c r="M210" s="11"/>
      <c r="N210" s="11"/>
      <c r="O210" s="11"/>
      <c r="P210" s="11"/>
    </row>
    <row r="211" spans="1:16">
      <c r="A211" s="11"/>
      <c r="B211" s="11"/>
      <c r="C211" s="11"/>
      <c r="D211" s="11"/>
      <c r="E211" s="11"/>
      <c r="F211" s="11"/>
      <c r="G211" s="12"/>
      <c r="H211" s="12"/>
      <c r="I211" s="12"/>
      <c r="J211" s="11"/>
      <c r="K211" s="9">
        <f>IF(H211="","",IF(I211="",TODAY()-H211,I211-H211))</f>
        <v/>
      </c>
      <c r="L211" s="10">
        <f>IF(AND(ISNUMBER(G211),H211="",TODAY()&gt;G211),"LATE","")</f>
        <v/>
      </c>
      <c r="M211" s="11"/>
      <c r="N211" s="11"/>
      <c r="O211" s="11"/>
      <c r="P211" s="11"/>
    </row>
    <row r="212" spans="1:16">
      <c r="A212" s="11"/>
      <c r="B212" s="11"/>
      <c r="C212" s="11"/>
      <c r="D212" s="11"/>
      <c r="E212" s="11"/>
      <c r="F212" s="11"/>
      <c r="G212" s="12"/>
      <c r="H212" s="12"/>
      <c r="I212" s="12"/>
      <c r="J212" s="11"/>
      <c r="K212" s="9">
        <f>IF(H212="","",IF(I212="",TODAY()-H212,I212-H212))</f>
        <v/>
      </c>
      <c r="L212" s="10">
        <f>IF(AND(ISNUMBER(G212),H212="",TODAY()&gt;G212),"LATE","")</f>
        <v/>
      </c>
      <c r="M212" s="11"/>
      <c r="N212" s="11"/>
      <c r="O212" s="11"/>
      <c r="P212" s="11"/>
    </row>
    <row r="213" spans="1:16">
      <c r="A213" s="11"/>
      <c r="B213" s="11"/>
      <c r="C213" s="11"/>
      <c r="D213" s="11"/>
      <c r="E213" s="11"/>
      <c r="F213" s="11"/>
      <c r="G213" s="12"/>
      <c r="H213" s="12"/>
      <c r="I213" s="12"/>
      <c r="J213" s="11"/>
      <c r="K213" s="9">
        <f>IF(H213="","",IF(I213="",TODAY()-H213,I213-H213))</f>
        <v/>
      </c>
      <c r="L213" s="10">
        <f>IF(AND(ISNUMBER(G213),H213="",TODAY()&gt;G213),"LATE","")</f>
        <v/>
      </c>
      <c r="M213" s="11"/>
      <c r="N213" s="11"/>
      <c r="O213" s="11"/>
      <c r="P213" s="11"/>
    </row>
    <row r="214" spans="1:16">
      <c r="A214" s="11"/>
      <c r="B214" s="11"/>
      <c r="C214" s="11"/>
      <c r="D214" s="11"/>
      <c r="E214" s="11"/>
      <c r="F214" s="11"/>
      <c r="G214" s="12"/>
      <c r="H214" s="12"/>
      <c r="I214" s="12"/>
      <c r="J214" s="11"/>
      <c r="K214" s="9">
        <f>IF(H214="","",IF(I214="",TODAY()-H214,I214-H214))</f>
        <v/>
      </c>
      <c r="L214" s="10">
        <f>IF(AND(ISNUMBER(G214),H214="",TODAY()&gt;G214),"LATE","")</f>
        <v/>
      </c>
      <c r="M214" s="11"/>
      <c r="N214" s="11"/>
      <c r="O214" s="11"/>
      <c r="P214" s="11"/>
    </row>
    <row r="215" spans="1:16">
      <c r="A215" s="11"/>
      <c r="B215" s="11"/>
      <c r="C215" s="11"/>
      <c r="D215" s="11"/>
      <c r="E215" s="11"/>
      <c r="F215" s="11"/>
      <c r="G215" s="12"/>
      <c r="H215" s="12"/>
      <c r="I215" s="12"/>
      <c r="J215" s="11"/>
      <c r="K215" s="9">
        <f>IF(H215="","",IF(I215="",TODAY()-H215,I215-H215))</f>
        <v/>
      </c>
      <c r="L215" s="10">
        <f>IF(AND(ISNUMBER(G215),H215="",TODAY()&gt;G215),"LATE","")</f>
        <v/>
      </c>
      <c r="M215" s="11"/>
      <c r="N215" s="11"/>
      <c r="O215" s="11"/>
      <c r="P215" s="11"/>
    </row>
    <row r="216" spans="1:16">
      <c r="A216" s="11"/>
      <c r="B216" s="11"/>
      <c r="C216" s="11"/>
      <c r="D216" s="11"/>
      <c r="E216" s="11"/>
      <c r="F216" s="11"/>
      <c r="G216" s="12"/>
      <c r="H216" s="12"/>
      <c r="I216" s="12"/>
      <c r="J216" s="11"/>
      <c r="K216" s="9">
        <f>IF(H216="","",IF(I216="",TODAY()-H216,I216-H216))</f>
        <v/>
      </c>
      <c r="L216" s="10">
        <f>IF(AND(ISNUMBER(G216),H216="",TODAY()&gt;G216),"LATE","")</f>
        <v/>
      </c>
      <c r="M216" s="11"/>
      <c r="N216" s="11"/>
      <c r="O216" s="11"/>
      <c r="P216" s="11"/>
    </row>
    <row r="217" spans="1:16">
      <c r="A217" s="11"/>
      <c r="B217" s="11"/>
      <c r="C217" s="11"/>
      <c r="D217" s="11"/>
      <c r="E217" s="11"/>
      <c r="F217" s="11"/>
      <c r="G217" s="12"/>
      <c r="H217" s="12"/>
      <c r="I217" s="12"/>
      <c r="J217" s="11"/>
      <c r="K217" s="9">
        <f>IF(H217="","",IF(I217="",TODAY()-H217,I217-H217))</f>
        <v/>
      </c>
      <c r="L217" s="10">
        <f>IF(AND(ISNUMBER(G217),H217="",TODAY()&gt;G217),"LATE","")</f>
        <v/>
      </c>
      <c r="M217" s="11"/>
      <c r="N217" s="11"/>
      <c r="O217" s="11"/>
      <c r="P217" s="11"/>
    </row>
    <row r="218" spans="1:16">
      <c r="A218" s="11"/>
      <c r="B218" s="11"/>
      <c r="C218" s="11"/>
      <c r="D218" s="11"/>
      <c r="E218" s="11"/>
      <c r="F218" s="11"/>
      <c r="G218" s="12"/>
      <c r="H218" s="12"/>
      <c r="I218" s="12"/>
      <c r="J218" s="11"/>
      <c r="K218" s="9">
        <f>IF(H218="","",IF(I218="",TODAY()-H218,I218-H218))</f>
        <v/>
      </c>
      <c r="L218" s="10">
        <f>IF(AND(ISNUMBER(G218),H218="",TODAY()&gt;G218),"LATE","")</f>
        <v/>
      </c>
      <c r="M218" s="11"/>
      <c r="N218" s="11"/>
      <c r="O218" s="11"/>
      <c r="P218" s="11"/>
    </row>
    <row r="219" spans="1:16">
      <c r="A219" s="11"/>
      <c r="B219" s="11"/>
      <c r="C219" s="11"/>
      <c r="D219" s="11"/>
      <c r="E219" s="11"/>
      <c r="F219" s="11"/>
      <c r="G219" s="12"/>
      <c r="H219" s="12"/>
      <c r="I219" s="12"/>
      <c r="J219" s="11"/>
      <c r="K219" s="9">
        <f>IF(H219="","",IF(I219="",TODAY()-H219,I219-H219))</f>
        <v/>
      </c>
      <c r="L219" s="10">
        <f>IF(AND(ISNUMBER(G219),H219="",TODAY()&gt;G219),"LATE","")</f>
        <v/>
      </c>
      <c r="M219" s="11"/>
      <c r="N219" s="11"/>
      <c r="O219" s="11"/>
      <c r="P219" s="11"/>
    </row>
    <row r="220" spans="1:16">
      <c r="A220" s="11"/>
      <c r="B220" s="11"/>
      <c r="C220" s="11"/>
      <c r="D220" s="11"/>
      <c r="E220" s="11"/>
      <c r="F220" s="11"/>
      <c r="G220" s="12"/>
      <c r="H220" s="12"/>
      <c r="I220" s="12"/>
      <c r="J220" s="11"/>
      <c r="K220" s="9">
        <f>IF(H220="","",IF(I220="",TODAY()-H220,I220-H220))</f>
        <v/>
      </c>
      <c r="L220" s="10">
        <f>IF(AND(ISNUMBER(G220),H220="",TODAY()&gt;G220),"LATE","")</f>
        <v/>
      </c>
      <c r="M220" s="11"/>
      <c r="N220" s="11"/>
      <c r="O220" s="11"/>
      <c r="P220" s="11"/>
    </row>
    <row r="221" spans="1:16">
      <c r="A221" s="11"/>
      <c r="B221" s="11"/>
      <c r="C221" s="11"/>
      <c r="D221" s="11"/>
      <c r="E221" s="11"/>
      <c r="F221" s="11"/>
      <c r="G221" s="12"/>
      <c r="H221" s="12"/>
      <c r="I221" s="12"/>
      <c r="J221" s="11"/>
      <c r="K221" s="9">
        <f>IF(H221="","",IF(I221="",TODAY()-H221,I221-H221))</f>
        <v/>
      </c>
      <c r="L221" s="10">
        <f>IF(AND(ISNUMBER(G221),H221="",TODAY()&gt;G221),"LATE","")</f>
        <v/>
      </c>
      <c r="M221" s="11"/>
      <c r="N221" s="11"/>
      <c r="O221" s="11"/>
      <c r="P221" s="11"/>
    </row>
    <row r="222" spans="1:16">
      <c r="A222" s="11"/>
      <c r="B222" s="11"/>
      <c r="C222" s="11"/>
      <c r="D222" s="11"/>
      <c r="E222" s="11"/>
      <c r="F222" s="11"/>
      <c r="G222" s="12"/>
      <c r="H222" s="12"/>
      <c r="I222" s="12"/>
      <c r="J222" s="11"/>
      <c r="K222" s="9">
        <f>IF(H222="","",IF(I222="",TODAY()-H222,I222-H222))</f>
        <v/>
      </c>
      <c r="L222" s="10">
        <f>IF(AND(ISNUMBER(G222),H222="",TODAY()&gt;G222),"LATE","")</f>
        <v/>
      </c>
      <c r="M222" s="11"/>
      <c r="N222" s="11"/>
      <c r="O222" s="11"/>
      <c r="P222" s="11"/>
    </row>
    <row r="223" spans="1:16">
      <c r="A223" s="11"/>
      <c r="B223" s="11"/>
      <c r="C223" s="11"/>
      <c r="D223" s="11"/>
      <c r="E223" s="11"/>
      <c r="F223" s="11"/>
      <c r="G223" s="12"/>
      <c r="H223" s="12"/>
      <c r="I223" s="12"/>
      <c r="J223" s="11"/>
      <c r="K223" s="9">
        <f>IF(H223="","",IF(I223="",TODAY()-H223,I223-H223))</f>
        <v/>
      </c>
      <c r="L223" s="10">
        <f>IF(AND(ISNUMBER(G223),H223="",TODAY()&gt;G223),"LATE","")</f>
        <v/>
      </c>
      <c r="M223" s="11"/>
      <c r="N223" s="11"/>
      <c r="O223" s="11"/>
      <c r="P223" s="11"/>
    </row>
    <row r="224" spans="1:16">
      <c r="A224" s="11"/>
      <c r="B224" s="11"/>
      <c r="C224" s="11"/>
      <c r="D224" s="11"/>
      <c r="E224" s="11"/>
      <c r="F224" s="11"/>
      <c r="G224" s="12"/>
      <c r="H224" s="12"/>
      <c r="I224" s="12"/>
      <c r="J224" s="11"/>
      <c r="K224" s="9">
        <f>IF(H224="","",IF(I224="",TODAY()-H224,I224-H224))</f>
        <v/>
      </c>
      <c r="L224" s="10">
        <f>IF(AND(ISNUMBER(G224),H224="",TODAY()&gt;G224),"LATE","")</f>
        <v/>
      </c>
      <c r="M224" s="11"/>
      <c r="N224" s="11"/>
      <c r="O224" s="11"/>
      <c r="P224" s="11"/>
    </row>
    <row r="225" spans="1:16">
      <c r="A225" s="11"/>
      <c r="B225" s="11"/>
      <c r="C225" s="11"/>
      <c r="D225" s="11"/>
      <c r="E225" s="11"/>
      <c r="F225" s="11"/>
      <c r="G225" s="12"/>
      <c r="H225" s="12"/>
      <c r="I225" s="12"/>
      <c r="J225" s="11"/>
      <c r="K225" s="9">
        <f>IF(H225="","",IF(I225="",TODAY()-H225,I225-H225))</f>
        <v/>
      </c>
      <c r="L225" s="10">
        <f>IF(AND(ISNUMBER(G225),H225="",TODAY()&gt;G225),"LATE","")</f>
        <v/>
      </c>
      <c r="M225" s="11"/>
      <c r="N225" s="11"/>
      <c r="O225" s="11"/>
      <c r="P225" s="11"/>
    </row>
    <row r="226" spans="1:16">
      <c r="A226" s="11"/>
      <c r="B226" s="11"/>
      <c r="C226" s="11"/>
      <c r="D226" s="11"/>
      <c r="E226" s="11"/>
      <c r="F226" s="11"/>
      <c r="G226" s="12"/>
      <c r="H226" s="12"/>
      <c r="I226" s="12"/>
      <c r="J226" s="11"/>
      <c r="K226" s="9">
        <f>IF(H226="","",IF(I226="",TODAY()-H226,I226-H226))</f>
        <v/>
      </c>
      <c r="L226" s="10">
        <f>IF(AND(ISNUMBER(G226),H226="",TODAY()&gt;G226),"LATE","")</f>
        <v/>
      </c>
      <c r="M226" s="11"/>
      <c r="N226" s="11"/>
      <c r="O226" s="11"/>
      <c r="P226" s="11"/>
    </row>
    <row r="227" spans="1:16">
      <c r="A227" s="11"/>
      <c r="B227" s="11"/>
      <c r="C227" s="11"/>
      <c r="D227" s="11"/>
      <c r="E227" s="11"/>
      <c r="F227" s="11"/>
      <c r="G227" s="12"/>
      <c r="H227" s="12"/>
      <c r="I227" s="12"/>
      <c r="J227" s="11"/>
      <c r="K227" s="9">
        <f>IF(H227="","",IF(I227="",TODAY()-H227,I227-H227))</f>
        <v/>
      </c>
      <c r="L227" s="10">
        <f>IF(AND(ISNUMBER(G227),H227="",TODAY()&gt;G227),"LATE","")</f>
        <v/>
      </c>
      <c r="M227" s="11"/>
      <c r="N227" s="11"/>
      <c r="O227" s="11"/>
      <c r="P227" s="11"/>
    </row>
    <row r="228" spans="1:16">
      <c r="A228" s="11"/>
      <c r="B228" s="11"/>
      <c r="C228" s="11"/>
      <c r="D228" s="11"/>
      <c r="E228" s="11"/>
      <c r="F228" s="11"/>
      <c r="G228" s="12"/>
      <c r="H228" s="12"/>
      <c r="I228" s="12"/>
      <c r="J228" s="11"/>
      <c r="K228" s="9">
        <f>IF(H228="","",IF(I228="",TODAY()-H228,I228-H228))</f>
        <v/>
      </c>
      <c r="L228" s="10">
        <f>IF(AND(ISNUMBER(G228),H228="",TODAY()&gt;G228),"LATE","")</f>
        <v/>
      </c>
      <c r="M228" s="11"/>
      <c r="N228" s="11"/>
      <c r="O228" s="11"/>
      <c r="P228" s="11"/>
    </row>
    <row r="229" spans="1:16">
      <c r="A229" s="11"/>
      <c r="B229" s="11"/>
      <c r="C229" s="11"/>
      <c r="D229" s="11"/>
      <c r="E229" s="11"/>
      <c r="F229" s="11"/>
      <c r="G229" s="12"/>
      <c r="H229" s="12"/>
      <c r="I229" s="12"/>
      <c r="J229" s="11"/>
      <c r="K229" s="9">
        <f>IF(H229="","",IF(I229="",TODAY()-H229,I229-H229))</f>
        <v/>
      </c>
      <c r="L229" s="10">
        <f>IF(AND(ISNUMBER(G229),H229="",TODAY()&gt;G229),"LATE","")</f>
        <v/>
      </c>
      <c r="M229" s="11"/>
      <c r="N229" s="11"/>
      <c r="O229" s="11"/>
      <c r="P229" s="11"/>
    </row>
    <row r="230" spans="1:16">
      <c r="A230" s="11"/>
      <c r="B230" s="11"/>
      <c r="C230" s="11"/>
      <c r="D230" s="11"/>
      <c r="E230" s="11"/>
      <c r="F230" s="11"/>
      <c r="G230" s="12"/>
      <c r="H230" s="12"/>
      <c r="I230" s="12"/>
      <c r="J230" s="11"/>
      <c r="K230" s="9">
        <f>IF(H230="","",IF(I230="",TODAY()-H230,I230-H230))</f>
        <v/>
      </c>
      <c r="L230" s="10">
        <f>IF(AND(ISNUMBER(G230),H230="",TODAY()&gt;G230),"LATE","")</f>
        <v/>
      </c>
      <c r="M230" s="11"/>
      <c r="N230" s="11"/>
      <c r="O230" s="11"/>
      <c r="P230" s="11"/>
    </row>
    <row r="231" spans="1:16">
      <c r="A231" s="11"/>
      <c r="B231" s="11"/>
      <c r="C231" s="11"/>
      <c r="D231" s="11"/>
      <c r="E231" s="11"/>
      <c r="F231" s="11"/>
      <c r="G231" s="12"/>
      <c r="H231" s="12"/>
      <c r="I231" s="12"/>
      <c r="J231" s="11"/>
      <c r="K231" s="9">
        <f>IF(H231="","",IF(I231="",TODAY()-H231,I231-H231))</f>
        <v/>
      </c>
      <c r="L231" s="10">
        <f>IF(AND(ISNUMBER(G231),H231="",TODAY()&gt;G231),"LATE","")</f>
        <v/>
      </c>
      <c r="M231" s="11"/>
      <c r="N231" s="11"/>
      <c r="O231" s="11"/>
      <c r="P231" s="11"/>
    </row>
    <row r="232" spans="1:16">
      <c r="A232" s="11"/>
      <c r="B232" s="11"/>
      <c r="C232" s="11"/>
      <c r="D232" s="11"/>
      <c r="E232" s="11"/>
      <c r="F232" s="11"/>
      <c r="G232" s="12"/>
      <c r="H232" s="12"/>
      <c r="I232" s="12"/>
      <c r="J232" s="11"/>
      <c r="K232" s="9">
        <f>IF(H232="","",IF(I232="",TODAY()-H232,I232-H232))</f>
        <v/>
      </c>
      <c r="L232" s="10">
        <f>IF(AND(ISNUMBER(G232),H232="",TODAY()&gt;G232),"LATE","")</f>
        <v/>
      </c>
      <c r="M232" s="11"/>
      <c r="N232" s="11"/>
      <c r="O232" s="11"/>
      <c r="P232" s="11"/>
    </row>
    <row r="233" spans="1:16">
      <c r="A233" s="11"/>
      <c r="B233" s="11"/>
      <c r="C233" s="11"/>
      <c r="D233" s="11"/>
      <c r="E233" s="11"/>
      <c r="F233" s="11"/>
      <c r="G233" s="12"/>
      <c r="H233" s="12"/>
      <c r="I233" s="12"/>
      <c r="J233" s="11"/>
      <c r="K233" s="9">
        <f>IF(H233="","",IF(I233="",TODAY()-H233,I233-H233))</f>
        <v/>
      </c>
      <c r="L233" s="10">
        <f>IF(AND(ISNUMBER(G233),H233="",TODAY()&gt;G233),"LATE","")</f>
        <v/>
      </c>
      <c r="M233" s="11"/>
      <c r="N233" s="11"/>
      <c r="O233" s="11"/>
      <c r="P233" s="11"/>
    </row>
    <row r="234" spans="1:16">
      <c r="A234" s="11"/>
      <c r="B234" s="11"/>
      <c r="C234" s="11"/>
      <c r="D234" s="11"/>
      <c r="E234" s="11"/>
      <c r="F234" s="11"/>
      <c r="G234" s="12"/>
      <c r="H234" s="12"/>
      <c r="I234" s="12"/>
      <c r="J234" s="11"/>
      <c r="K234" s="9">
        <f>IF(H234="","",IF(I234="",TODAY()-H234,I234-H234))</f>
        <v/>
      </c>
      <c r="L234" s="10">
        <f>IF(AND(ISNUMBER(G234),H234="",TODAY()&gt;G234),"LATE","")</f>
        <v/>
      </c>
      <c r="M234" s="11"/>
      <c r="N234" s="11"/>
      <c r="O234" s="11"/>
      <c r="P234" s="11"/>
    </row>
    <row r="235" spans="1:16">
      <c r="A235" s="11"/>
      <c r="B235" s="11"/>
      <c r="C235" s="11"/>
      <c r="D235" s="11"/>
      <c r="E235" s="11"/>
      <c r="F235" s="11"/>
      <c r="G235" s="12"/>
      <c r="H235" s="12"/>
      <c r="I235" s="12"/>
      <c r="J235" s="11"/>
      <c r="K235" s="9">
        <f>IF(H235="","",IF(I235="",TODAY()-H235,I235-H235))</f>
        <v/>
      </c>
      <c r="L235" s="10">
        <f>IF(AND(ISNUMBER(G235),H235="",TODAY()&gt;G235),"LATE","")</f>
        <v/>
      </c>
      <c r="M235" s="11"/>
      <c r="N235" s="11"/>
      <c r="O235" s="11"/>
      <c r="P235" s="11"/>
    </row>
    <row r="236" spans="1:16">
      <c r="A236" s="11"/>
      <c r="B236" s="11"/>
      <c r="C236" s="11"/>
      <c r="D236" s="11"/>
      <c r="E236" s="11"/>
      <c r="F236" s="11"/>
      <c r="G236" s="12"/>
      <c r="H236" s="12"/>
      <c r="I236" s="12"/>
      <c r="J236" s="11"/>
      <c r="K236" s="9">
        <f>IF(H236="","",IF(I236="",TODAY()-H236,I236-H236))</f>
        <v/>
      </c>
      <c r="L236" s="10">
        <f>IF(AND(ISNUMBER(G236),H236="",TODAY()&gt;G236),"LATE","")</f>
        <v/>
      </c>
      <c r="M236" s="11"/>
      <c r="N236" s="11"/>
      <c r="O236" s="11"/>
      <c r="P236" s="11"/>
    </row>
    <row r="237" spans="1:16">
      <c r="A237" s="11"/>
      <c r="B237" s="11"/>
      <c r="C237" s="11"/>
      <c r="D237" s="11"/>
      <c r="E237" s="11"/>
      <c r="F237" s="11"/>
      <c r="G237" s="12"/>
      <c r="H237" s="12"/>
      <c r="I237" s="12"/>
      <c r="J237" s="11"/>
      <c r="K237" s="9">
        <f>IF(H237="","",IF(I237="",TODAY()-H237,I237-H237))</f>
        <v/>
      </c>
      <c r="L237" s="10">
        <f>IF(AND(ISNUMBER(G237),H237="",TODAY()&gt;G237),"LATE","")</f>
        <v/>
      </c>
      <c r="M237" s="11"/>
      <c r="N237" s="11"/>
      <c r="O237" s="11"/>
      <c r="P237" s="11"/>
    </row>
    <row r="238" spans="1:16">
      <c r="A238" s="11"/>
      <c r="B238" s="11"/>
      <c r="C238" s="11"/>
      <c r="D238" s="11"/>
      <c r="E238" s="11"/>
      <c r="F238" s="11"/>
      <c r="G238" s="12"/>
      <c r="H238" s="12"/>
      <c r="I238" s="12"/>
      <c r="J238" s="11"/>
      <c r="K238" s="9">
        <f>IF(H238="","",IF(I238="",TODAY()-H238,I238-H238))</f>
        <v/>
      </c>
      <c r="L238" s="10">
        <f>IF(AND(ISNUMBER(G238),H238="",TODAY()&gt;G238),"LATE","")</f>
        <v/>
      </c>
      <c r="M238" s="11"/>
      <c r="N238" s="11"/>
      <c r="O238" s="11"/>
      <c r="P238" s="11"/>
    </row>
    <row r="239" spans="1:16">
      <c r="A239" s="11"/>
      <c r="B239" s="11"/>
      <c r="C239" s="11"/>
      <c r="D239" s="11"/>
      <c r="E239" s="11"/>
      <c r="F239" s="11"/>
      <c r="G239" s="12"/>
      <c r="H239" s="12"/>
      <c r="I239" s="12"/>
      <c r="J239" s="11"/>
      <c r="K239" s="9">
        <f>IF(H239="","",IF(I239="",TODAY()-H239,I239-H239))</f>
        <v/>
      </c>
      <c r="L239" s="10">
        <f>IF(AND(ISNUMBER(G239),H239="",TODAY()&gt;G239),"LATE","")</f>
        <v/>
      </c>
      <c r="M239" s="11"/>
      <c r="N239" s="11"/>
      <c r="O239" s="11"/>
      <c r="P239" s="11"/>
    </row>
    <row r="240" spans="1:16">
      <c r="A240" s="11"/>
      <c r="B240" s="11"/>
      <c r="C240" s="11"/>
      <c r="D240" s="11"/>
      <c r="E240" s="11"/>
      <c r="F240" s="11"/>
      <c r="G240" s="12"/>
      <c r="H240" s="12"/>
      <c r="I240" s="12"/>
      <c r="J240" s="11"/>
      <c r="K240" s="9">
        <f>IF(H240="","",IF(I240="",TODAY()-H240,I240-H240))</f>
        <v/>
      </c>
      <c r="L240" s="10">
        <f>IF(AND(ISNUMBER(G240),H240="",TODAY()&gt;G240),"LATE","")</f>
        <v/>
      </c>
      <c r="M240" s="11"/>
      <c r="N240" s="11"/>
      <c r="O240" s="11"/>
      <c r="P240" s="11"/>
    </row>
    <row r="241" spans="1:16">
      <c r="A241" s="11"/>
      <c r="B241" s="11"/>
      <c r="C241" s="11"/>
      <c r="D241" s="11"/>
      <c r="E241" s="11"/>
      <c r="F241" s="11"/>
      <c r="G241" s="12"/>
      <c r="H241" s="12"/>
      <c r="I241" s="12"/>
      <c r="J241" s="11"/>
      <c r="K241" s="9">
        <f>IF(H241="","",IF(I241="",TODAY()-H241,I241-H241))</f>
        <v/>
      </c>
      <c r="L241" s="10">
        <f>IF(AND(ISNUMBER(G241),H241="",TODAY()&gt;G241),"LATE","")</f>
        <v/>
      </c>
      <c r="M241" s="11"/>
      <c r="N241" s="11"/>
      <c r="O241" s="11"/>
      <c r="P241" s="11"/>
    </row>
    <row r="242" spans="1:16">
      <c r="A242" s="11"/>
      <c r="B242" s="11"/>
      <c r="C242" s="11"/>
      <c r="D242" s="11"/>
      <c r="E242" s="11"/>
      <c r="F242" s="11"/>
      <c r="G242" s="12"/>
      <c r="H242" s="12"/>
      <c r="I242" s="12"/>
      <c r="J242" s="11"/>
      <c r="K242" s="9">
        <f>IF(H242="","",IF(I242="",TODAY()-H242,I242-H242))</f>
        <v/>
      </c>
      <c r="L242" s="10">
        <f>IF(AND(ISNUMBER(G242),H242="",TODAY()&gt;G242),"LATE","")</f>
        <v/>
      </c>
      <c r="M242" s="11"/>
      <c r="N242" s="11"/>
      <c r="O242" s="11"/>
      <c r="P242" s="11"/>
    </row>
    <row r="243" spans="1:16">
      <c r="A243" s="11"/>
      <c r="B243" s="11"/>
      <c r="C243" s="11"/>
      <c r="D243" s="11"/>
      <c r="E243" s="11"/>
      <c r="F243" s="11"/>
      <c r="G243" s="12"/>
      <c r="H243" s="12"/>
      <c r="I243" s="12"/>
      <c r="J243" s="11"/>
      <c r="K243" s="9">
        <f>IF(H243="","",IF(I243="",TODAY()-H243,I243-H243))</f>
        <v/>
      </c>
      <c r="L243" s="10">
        <f>IF(AND(ISNUMBER(G243),H243="",TODAY()&gt;G243),"LATE","")</f>
        <v/>
      </c>
      <c r="M243" s="11"/>
      <c r="N243" s="11"/>
      <c r="O243" s="11"/>
      <c r="P243" s="11"/>
    </row>
    <row r="244" spans="1:16">
      <c r="A244" s="11"/>
      <c r="B244" s="11"/>
      <c r="C244" s="11"/>
      <c r="D244" s="11"/>
      <c r="E244" s="11"/>
      <c r="F244" s="11"/>
      <c r="G244" s="12"/>
      <c r="H244" s="12"/>
      <c r="I244" s="12"/>
      <c r="J244" s="11"/>
      <c r="K244" s="9">
        <f>IF(H244="","",IF(I244="",TODAY()-H244,I244-H244))</f>
        <v/>
      </c>
      <c r="L244" s="10">
        <f>IF(AND(ISNUMBER(G244),H244="",TODAY()&gt;G244),"LATE","")</f>
        <v/>
      </c>
      <c r="M244" s="11"/>
      <c r="N244" s="11"/>
      <c r="O244" s="11"/>
      <c r="P244" s="11"/>
    </row>
    <row r="245" spans="1:16">
      <c r="A245" s="11"/>
      <c r="B245" s="11"/>
      <c r="C245" s="11"/>
      <c r="D245" s="11"/>
      <c r="E245" s="11"/>
      <c r="F245" s="11"/>
      <c r="G245" s="12"/>
      <c r="H245" s="12"/>
      <c r="I245" s="12"/>
      <c r="J245" s="11"/>
      <c r="K245" s="9">
        <f>IF(H245="","",IF(I245="",TODAY()-H245,I245-H245))</f>
        <v/>
      </c>
      <c r="L245" s="10">
        <f>IF(AND(ISNUMBER(G245),H245="",TODAY()&gt;G245),"LATE","")</f>
        <v/>
      </c>
      <c r="M245" s="11"/>
      <c r="N245" s="11"/>
      <c r="O245" s="11"/>
      <c r="P245" s="11"/>
    </row>
    <row r="246" spans="1:16">
      <c r="A246" s="11"/>
      <c r="B246" s="11"/>
      <c r="C246" s="11"/>
      <c r="D246" s="11"/>
      <c r="E246" s="11"/>
      <c r="F246" s="11"/>
      <c r="G246" s="12"/>
      <c r="H246" s="12"/>
      <c r="I246" s="12"/>
      <c r="J246" s="11"/>
      <c r="K246" s="9">
        <f>IF(H246="","",IF(I246="",TODAY()-H246,I246-H246))</f>
        <v/>
      </c>
      <c r="L246" s="10">
        <f>IF(AND(ISNUMBER(G246),H246="",TODAY()&gt;G246),"LATE","")</f>
        <v/>
      </c>
      <c r="M246" s="11"/>
      <c r="N246" s="11"/>
      <c r="O246" s="11"/>
      <c r="P246" s="11"/>
    </row>
    <row r="247" spans="1:16">
      <c r="A247" s="11"/>
      <c r="B247" s="11"/>
      <c r="C247" s="11"/>
      <c r="D247" s="11"/>
      <c r="E247" s="11"/>
      <c r="F247" s="11"/>
      <c r="G247" s="12"/>
      <c r="H247" s="12"/>
      <c r="I247" s="12"/>
      <c r="J247" s="11"/>
      <c r="K247" s="9">
        <f>IF(H247="","",IF(I247="",TODAY()-H247,I247-H247))</f>
        <v/>
      </c>
      <c r="L247" s="10">
        <f>IF(AND(ISNUMBER(G247),H247="",TODAY()&gt;G247),"LATE","")</f>
        <v/>
      </c>
      <c r="M247" s="11"/>
      <c r="N247" s="11"/>
      <c r="O247" s="11"/>
      <c r="P247" s="11"/>
    </row>
    <row r="248" spans="1:16">
      <c r="A248" s="11"/>
      <c r="B248" s="11"/>
      <c r="C248" s="11"/>
      <c r="D248" s="11"/>
      <c r="E248" s="11"/>
      <c r="F248" s="11"/>
      <c r="G248" s="12"/>
      <c r="H248" s="12"/>
      <c r="I248" s="12"/>
      <c r="J248" s="11"/>
      <c r="K248" s="9">
        <f>IF(H248="","",IF(I248="",TODAY()-H248,I248-H248))</f>
        <v/>
      </c>
      <c r="L248" s="10">
        <f>IF(AND(ISNUMBER(G248),H248="",TODAY()&gt;G248),"LATE","")</f>
        <v/>
      </c>
      <c r="M248" s="11"/>
      <c r="N248" s="11"/>
      <c r="O248" s="11"/>
      <c r="P248" s="11"/>
    </row>
    <row r="249" spans="1:16">
      <c r="A249" s="11"/>
      <c r="B249" s="11"/>
      <c r="C249" s="11"/>
      <c r="D249" s="11"/>
      <c r="E249" s="11"/>
      <c r="F249" s="11"/>
      <c r="G249" s="12"/>
      <c r="H249" s="12"/>
      <c r="I249" s="12"/>
      <c r="J249" s="11"/>
      <c r="K249" s="9">
        <f>IF(H249="","",IF(I249="",TODAY()-H249,I249-H249))</f>
        <v/>
      </c>
      <c r="L249" s="10">
        <f>IF(AND(ISNUMBER(G249),H249="",TODAY()&gt;G249),"LATE","")</f>
        <v/>
      </c>
      <c r="M249" s="11"/>
      <c r="N249" s="11"/>
      <c r="O249" s="11"/>
      <c r="P249" s="11"/>
    </row>
    <row r="250" spans="1:16">
      <c r="A250" s="11"/>
      <c r="B250" s="11"/>
      <c r="C250" s="11"/>
      <c r="D250" s="11"/>
      <c r="E250" s="11"/>
      <c r="F250" s="11"/>
      <c r="G250" s="12"/>
      <c r="H250" s="12"/>
      <c r="I250" s="12"/>
      <c r="J250" s="11"/>
      <c r="K250" s="9">
        <f>IF(H250="","",IF(I250="",TODAY()-H250,I250-H250))</f>
        <v/>
      </c>
      <c r="L250" s="10">
        <f>IF(AND(ISNUMBER(G250),H250="",TODAY()&gt;G250),"LATE","")</f>
        <v/>
      </c>
      <c r="M250" s="11"/>
      <c r="N250" s="11"/>
      <c r="O250" s="11"/>
      <c r="P250" s="11"/>
    </row>
    <row r="251" spans="1:16">
      <c r="A251" s="11"/>
      <c r="B251" s="11"/>
      <c r="C251" s="11"/>
      <c r="D251" s="11"/>
      <c r="E251" s="11"/>
      <c r="F251" s="11"/>
      <c r="G251" s="12"/>
      <c r="H251" s="12"/>
      <c r="I251" s="12"/>
      <c r="J251" s="11"/>
      <c r="K251" s="9">
        <f>IF(H251="","",IF(I251="",TODAY()-H251,I251-H251))</f>
        <v/>
      </c>
      <c r="L251" s="10">
        <f>IF(AND(ISNUMBER(G251),H251="",TODAY()&gt;G251),"LATE","")</f>
        <v/>
      </c>
      <c r="M251" s="11"/>
      <c r="N251" s="11"/>
      <c r="O251" s="11"/>
      <c r="P251" s="11"/>
    </row>
    <row r="252" spans="1:16">
      <c r="A252" s="11"/>
      <c r="B252" s="11"/>
      <c r="C252" s="11"/>
      <c r="D252" s="11"/>
      <c r="E252" s="11"/>
      <c r="F252" s="11"/>
      <c r="G252" s="12"/>
      <c r="H252" s="12"/>
      <c r="I252" s="12"/>
      <c r="J252" s="11"/>
      <c r="K252" s="9">
        <f>IF(H252="","",IF(I252="",TODAY()-H252,I252-H252))</f>
        <v/>
      </c>
      <c r="L252" s="10">
        <f>IF(AND(ISNUMBER(G252),H252="",TODAY()&gt;G252),"LATE","")</f>
        <v/>
      </c>
      <c r="M252" s="11"/>
      <c r="N252" s="11"/>
      <c r="O252" s="11"/>
      <c r="P252" s="11"/>
    </row>
    <row r="253" spans="1:16">
      <c r="A253" s="11"/>
      <c r="B253" s="11"/>
      <c r="C253" s="11"/>
      <c r="D253" s="11"/>
      <c r="E253" s="11"/>
      <c r="F253" s="11"/>
      <c r="G253" s="12"/>
      <c r="H253" s="12"/>
      <c r="I253" s="12"/>
      <c r="J253" s="11"/>
      <c r="K253" s="9">
        <f>IF(H253="","",IF(I253="",TODAY()-H253,I253-H253))</f>
        <v/>
      </c>
      <c r="L253" s="10">
        <f>IF(AND(ISNUMBER(G253),H253="",TODAY()&gt;G253),"LATE","")</f>
        <v/>
      </c>
      <c r="M253" s="11"/>
      <c r="N253" s="11"/>
      <c r="O253" s="11"/>
      <c r="P253" s="11"/>
    </row>
    <row r="254" spans="1:16">
      <c r="A254" s="11"/>
      <c r="B254" s="11"/>
      <c r="C254" s="11"/>
      <c r="D254" s="11"/>
      <c r="E254" s="11"/>
      <c r="F254" s="11"/>
      <c r="G254" s="12"/>
      <c r="H254" s="12"/>
      <c r="I254" s="12"/>
      <c r="J254" s="11"/>
      <c r="K254" s="9">
        <f>IF(H254="","",IF(I254="",TODAY()-H254,I254-H254))</f>
        <v/>
      </c>
      <c r="L254" s="10">
        <f>IF(AND(ISNUMBER(G254),H254="",TODAY()&gt;G254),"LATE","")</f>
        <v/>
      </c>
      <c r="M254" s="11"/>
      <c r="N254" s="11"/>
      <c r="O254" s="11"/>
      <c r="P254" s="11"/>
    </row>
    <row r="255" spans="1:16">
      <c r="A255" s="11"/>
      <c r="B255" s="11"/>
      <c r="C255" s="11"/>
      <c r="D255" s="11"/>
      <c r="E255" s="11"/>
      <c r="F255" s="11"/>
      <c r="G255" s="12"/>
      <c r="H255" s="12"/>
      <c r="I255" s="12"/>
      <c r="J255" s="11"/>
      <c r="K255" s="9">
        <f>IF(H255="","",IF(I255="",TODAY()-H255,I255-H255))</f>
        <v/>
      </c>
      <c r="L255" s="10">
        <f>IF(AND(ISNUMBER(G255),H255="",TODAY()&gt;G255),"LATE","")</f>
        <v/>
      </c>
      <c r="M255" s="11"/>
      <c r="N255" s="11"/>
      <c r="O255" s="11"/>
      <c r="P255" s="11"/>
    </row>
    <row r="256" spans="1:16">
      <c r="A256" s="11"/>
      <c r="B256" s="11"/>
      <c r="C256" s="11"/>
      <c r="D256" s="11"/>
      <c r="E256" s="11"/>
      <c r="F256" s="11"/>
      <c r="G256" s="12"/>
      <c r="H256" s="12"/>
      <c r="I256" s="12"/>
      <c r="J256" s="11"/>
      <c r="K256" s="9">
        <f>IF(H256="","",IF(I256="",TODAY()-H256,I256-H256))</f>
        <v/>
      </c>
      <c r="L256" s="10">
        <f>IF(AND(ISNUMBER(G256),H256="",TODAY()&gt;G256),"LATE","")</f>
        <v/>
      </c>
      <c r="M256" s="11"/>
      <c r="N256" s="11"/>
      <c r="O256" s="11"/>
      <c r="P256" s="11"/>
    </row>
    <row r="257" spans="1:16">
      <c r="A257" s="11"/>
      <c r="B257" s="11"/>
      <c r="C257" s="11"/>
      <c r="D257" s="11"/>
      <c r="E257" s="11"/>
      <c r="F257" s="11"/>
      <c r="G257" s="12"/>
      <c r="H257" s="12"/>
      <c r="I257" s="12"/>
      <c r="J257" s="11"/>
      <c r="K257" s="9">
        <f>IF(H257="","",IF(I257="",TODAY()-H257,I257-H257))</f>
        <v/>
      </c>
      <c r="L257" s="10">
        <f>IF(AND(ISNUMBER(G257),H257="",TODAY()&gt;G257),"LATE","")</f>
        <v/>
      </c>
      <c r="M257" s="11"/>
      <c r="N257" s="11"/>
      <c r="O257" s="11"/>
      <c r="P257" s="11"/>
    </row>
  </sheetData>
  <autoFilter ref="A7:P257"/>
  <mergeCells count="6">
    <mergeCell ref="B2:E2"/>
    <mergeCell ref="H2:J2"/>
    <mergeCell ref="B3:E3"/>
    <mergeCell ref="H3:J3"/>
    <mergeCell ref="B4:E4"/>
    <mergeCell ref="H4:J4"/>
  </mergeCells>
  <conditionalFormatting sqref="J8:J257">
    <cfRule type="cellIs" dxfId="0" priority="1" operator="equal">
      <formula>"Approved"</formula>
    </cfRule>
    <cfRule type="cellIs" dxfId="0" priority="2" operator="equal">
      <formula>"Approved as noted"</formula>
    </cfRule>
    <cfRule type="cellIs" dxfId="1" priority="3" operator="equal">
      <formula>"Revise and resubmit"</formula>
    </cfRule>
    <cfRule type="cellIs" dxfId="2" priority="4" operator="equal">
      <formula>"Rejected"</formula>
    </cfRule>
    <cfRule type="cellIs" dxfId="3" priority="5" operator="equal">
      <formula>"Submitted - under review"</formula>
    </cfRule>
    <cfRule type="cellIs" dxfId="4" priority="6" operator="equal">
      <formula>"Not submitted"</formula>
    </cfRule>
    <cfRule type="cellIs" dxfId="4" priority="7" operator="equal">
      <formula>"For record only"</formula>
    </cfRule>
    <cfRule type="cellIs" dxfId="4" priority="8" operator="equal">
      <formula>"Closed"</formula>
    </cfRule>
  </conditionalFormatting>
  <conditionalFormatting sqref="K8:K257">
    <cfRule type="expression" dxfId="1" priority="10">
      <formula>AND(ISNUMBER($K8),$K8&gt;=14,$I8="")</formula>
    </cfRule>
  </conditionalFormatting>
  <conditionalFormatting sqref="L8:L257">
    <cfRule type="cellIs" dxfId="2" priority="9" operator="equal">
      <formula>"LATE"</formula>
    </cfRule>
  </conditionalFormatting>
  <dataValidations count="3">
    <dataValidation type="list" allowBlank="1" showInputMessage="1" showErrorMessage="1" sqref="E8:E257">
      <formula1>Lists!$A$2:$A$12</formula1>
    </dataValidation>
    <dataValidation type="list" allowBlank="1" showInputMessage="1" showErrorMessage="1" sqref="J8:J257">
      <formula1>Lists!$B$2:$B$9</formula1>
    </dataValidation>
    <dataValidation type="list" allowBlank="1" showInputMessage="1" showErrorMessage="1" sqref="M8:M257">
      <formula1>Lists!$C$2:$C$5</formula1>
    </dataValidation>
  </dataValidations>
  <pageMargins left="0.7" right="0.7" top="0.75" bottom="0.75" header="0.3" footer="0.3"/>
  <pageSetup paperSize="1" fitToHeight="0" orientation="landscape"/>
</worksheet>
</file>

<file path=xl/worksheets/sheet2.xml><?xml version="1.0" encoding="utf-8"?>
<worksheet xmlns="http://schemas.openxmlformats.org/spreadsheetml/2006/main" xmlns:r="http://schemas.openxmlformats.org/officeDocument/2006/relationships">
  <dimension ref="A1:B15"/>
  <sheetViews>
    <sheetView showGridLines="0" workbookViewId="0"/>
  </sheetViews>
  <sheetFormatPr defaultRowHeight="15"/>
  <cols>
    <col min="1" max="1" width="34.7109375" customWidth="1"/>
    <col min="2" max="2" width="12.7109375" customWidth="1"/>
  </cols>
  <sheetData>
    <row r="1" spans="1:2">
      <c r="A1" s="1" t="s">
        <v>53</v>
      </c>
    </row>
    <row r="2" spans="1:2">
      <c r="A2" s="5"/>
    </row>
    <row r="4" spans="1:2">
      <c r="A4" s="6" t="s">
        <v>12</v>
      </c>
      <c r="B4" s="6" t="s">
        <v>54</v>
      </c>
    </row>
    <row r="5" spans="1:2">
      <c r="A5" s="13" t="s">
        <v>13</v>
      </c>
      <c r="B5" s="9">
        <f>COUNTIF('Submittal Log'!$J$8:$J$257,"Not submitted")</f>
        <v>0</v>
      </c>
    </row>
    <row r="6" spans="1:2">
      <c r="A6" s="13" t="s">
        <v>14</v>
      </c>
      <c r="B6" s="9">
        <f>COUNTIF('Submittal Log'!$J$8:$J$257,"Submitted - under review")</f>
        <v>0</v>
      </c>
    </row>
    <row r="7" spans="1:2">
      <c r="A7" s="13" t="s">
        <v>15</v>
      </c>
      <c r="B7" s="9">
        <f>COUNTIF('Submittal Log'!$J$8:$J$257,"Approved")</f>
        <v>0</v>
      </c>
    </row>
    <row r="8" spans="1:2">
      <c r="A8" s="13" t="s">
        <v>16</v>
      </c>
      <c r="B8" s="9">
        <f>COUNTIF('Submittal Log'!$J$8:$J$257,"Approved as noted")</f>
        <v>1</v>
      </c>
    </row>
    <row r="9" spans="1:2">
      <c r="A9" s="13" t="s">
        <v>17</v>
      </c>
      <c r="B9" s="9">
        <f>COUNTIF('Submittal Log'!$J$8:$J$257,"Revise and resubmit")</f>
        <v>0</v>
      </c>
    </row>
    <row r="10" spans="1:2">
      <c r="A10" s="13" t="s">
        <v>18</v>
      </c>
      <c r="B10" s="9">
        <f>COUNTIF('Submittal Log'!$J$8:$J$257,"Rejected")</f>
        <v>0</v>
      </c>
    </row>
    <row r="11" spans="1:2">
      <c r="A11" s="13" t="s">
        <v>19</v>
      </c>
      <c r="B11" s="9">
        <f>COUNTIF('Submittal Log'!$J$8:$J$257,"For record only")</f>
        <v>0</v>
      </c>
    </row>
    <row r="12" spans="1:2">
      <c r="A12" s="13" t="s">
        <v>20</v>
      </c>
      <c r="B12" s="9">
        <f>COUNTIF('Submittal Log'!$J$8:$J$257,"Closed")</f>
        <v>0</v>
      </c>
    </row>
    <row r="13" spans="1:2">
      <c r="A13" s="13" t="s">
        <v>55</v>
      </c>
      <c r="B13" s="9">
        <f>COUNTA('Submittal Log'!$A$8:$A$257)</f>
        <v>1</v>
      </c>
    </row>
    <row r="14" spans="1:2">
      <c r="A14" s="13" t="s">
        <v>56</v>
      </c>
      <c r="B14" s="9">
        <f>COUNTIF('Submittal Log'!$L$8:$L$257,"LATE")</f>
        <v>0</v>
      </c>
    </row>
    <row r="15" spans="1:2">
      <c r="A15" s="13" t="s">
        <v>57</v>
      </c>
      <c r="B15" s="14">
        <f>IFERROR(ROUND(AVERAGEIFS('Submittal Log'!$K$8:$K$257,'Submittal Log'!$I$8:$I$257,"&lt;&gt;"),1),"")</f>
        <v>10.0</v>
      </c>
    </row>
  </sheetData>
  <conditionalFormatting sqref="A5:A12">
    <cfRule type="cellIs" dxfId="0" priority="1" operator="equal">
      <formula>"Approved"</formula>
    </cfRule>
    <cfRule type="cellIs" dxfId="0" priority="2" operator="equal">
      <formula>"Approved as noted"</formula>
    </cfRule>
    <cfRule type="cellIs" dxfId="1" priority="3" operator="equal">
      <formula>"Revise and resubmit"</formula>
    </cfRule>
    <cfRule type="cellIs" dxfId="2" priority="4" operator="equal">
      <formula>"Rejected"</formula>
    </cfRule>
    <cfRule type="cellIs" dxfId="3" priority="5" operator="equal">
      <formula>"Submitted - under review"</formula>
    </cfRule>
    <cfRule type="cellIs" dxfId="4" priority="6" operator="equal">
      <formula>"Not submitted"</formula>
    </cfRule>
    <cfRule type="cellIs" dxfId="4" priority="7" operator="equal">
      <formula>"For record only"</formula>
    </cfRule>
    <cfRule type="cellIs" dxfId="4" priority="8" operator="equal">
      <formula>"Closed"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cols>
    <col min="1" max="3" width="28.7109375" customWidth="1"/>
  </cols>
  <sheetData>
    <row r="1" spans="1:3">
      <c r="A1" s="6" t="s">
        <v>0</v>
      </c>
      <c r="B1" s="6" t="s">
        <v>12</v>
      </c>
      <c r="C1" s="6" t="s">
        <v>21</v>
      </c>
    </row>
    <row r="2" spans="1:3">
      <c r="A2" s="11" t="s">
        <v>1</v>
      </c>
      <c r="B2" s="11" t="s">
        <v>13</v>
      </c>
      <c r="C2" s="11" t="s">
        <v>22</v>
      </c>
    </row>
    <row r="3" spans="1:3">
      <c r="A3" s="11" t="s">
        <v>2</v>
      </c>
      <c r="B3" s="11" t="s">
        <v>14</v>
      </c>
      <c r="C3" s="11" t="s">
        <v>23</v>
      </c>
    </row>
    <row r="4" spans="1:3">
      <c r="A4" s="11" t="s">
        <v>3</v>
      </c>
      <c r="B4" s="11" t="s">
        <v>15</v>
      </c>
      <c r="C4" s="11" t="s">
        <v>24</v>
      </c>
    </row>
    <row r="5" spans="1:3">
      <c r="A5" s="11" t="s">
        <v>4</v>
      </c>
      <c r="B5" s="11" t="s">
        <v>16</v>
      </c>
      <c r="C5" s="11" t="s">
        <v>25</v>
      </c>
    </row>
    <row r="6" spans="1:3">
      <c r="A6" s="11" t="s">
        <v>5</v>
      </c>
      <c r="B6" s="11" t="s">
        <v>17</v>
      </c>
    </row>
    <row r="7" spans="1:3">
      <c r="A7" s="11" t="s">
        <v>6</v>
      </c>
      <c r="B7" s="11" t="s">
        <v>18</v>
      </c>
    </row>
    <row r="8" spans="1:3">
      <c r="A8" s="11" t="s">
        <v>7</v>
      </c>
      <c r="B8" s="11" t="s">
        <v>19</v>
      </c>
    </row>
    <row r="9" spans="1:3">
      <c r="A9" s="11" t="s">
        <v>8</v>
      </c>
      <c r="B9" s="11" t="s">
        <v>20</v>
      </c>
    </row>
    <row r="10" spans="1:3">
      <c r="A10" s="11" t="s">
        <v>9</v>
      </c>
    </row>
    <row r="11" spans="1:3">
      <c r="A11" s="11" t="s">
        <v>10</v>
      </c>
    </row>
    <row r="12" spans="1:3">
      <c r="A12" s="15"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0"/>
  <sheetViews>
    <sheetView showGridLines="0" workbookViewId="0"/>
  </sheetViews>
  <sheetFormatPr defaultRowHeight="15"/>
  <cols>
    <col min="1" max="1" width="110.7109375" customWidth="1"/>
  </cols>
  <sheetData>
    <row r="1" spans="1:1">
      <c r="A1" s="1" t="s">
        <v>58</v>
      </c>
    </row>
    <row r="3" spans="1:1" ht="28" customHeight="1">
      <c r="A3" s="15" t="s">
        <v>59</v>
      </c>
    </row>
    <row r="4" spans="1:1" ht="28" customHeight="1">
      <c r="A4" s="15" t="s">
        <v>60</v>
      </c>
    </row>
    <row r="5" spans="1:1" ht="28" customHeight="1">
      <c r="A5" s="15" t="s">
        <v>61</v>
      </c>
    </row>
    <row r="6" spans="1:1" ht="14" customHeight="1">
      <c r="A6" s="15" t="s">
        <v>62</v>
      </c>
    </row>
    <row r="7" spans="1:1" ht="14" customHeight="1">
      <c r="A7" s="15" t="s">
        <v>63</v>
      </c>
    </row>
    <row r="9" spans="1:1">
      <c r="A9" s="16" t="s">
        <v>64</v>
      </c>
    </row>
    <row r="10" spans="1:1" ht="28" customHeight="1">
      <c r="A10" s="1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Submittal Log</vt:lpstr>
      <vt:lpstr>Summary</vt:lpstr>
      <vt:lpstr>Lists</vt:lpstr>
      <vt:lpstr>Read me</vt:lpstr>
      <vt:lpstr>'Submittal Log'!Print_Area</vt:lpstr>
      <vt:lpstr>'Submittal Log'!Print_Titles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2026-10-07T10:36:47Z</dcterms:created>
  <dcterms:modified xsi:type="dcterms:W3CDTF">2026-10-07T10:36:47Z</dcterms:modified>
</cp:coreProperties>
</file>