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emical List" sheetId="2" r:id="rId2"/>
    <sheet name="Binder Index" sheetId="3" r:id="rId3"/>
    <sheet name="Summary" sheetId="4" r:id="rId4"/>
    <sheet name="Settings" sheetId="5" r:id="rId5"/>
    <sheet name="Read me" sheetId="6" r:id="rId6"/>
  </sheets>
  <definedNames>
    <definedName name="_xlnm._FilterDatabase" localSheetId="2" hidden="1">'Binder Index'!$A$1:$F$11</definedName>
    <definedName name="_xlnm._FilterDatabase" localSheetId="0" hidden="1">Inventory!$A$1:$W$11</definedName>
    <definedName name="_xlnm.Print_Area" localSheetId="1">'Chemical List'!$A$1:$F$16</definedName>
    <definedName name="_xlnm.Print_Titles" localSheetId="1">'Chemical List'!$5:$5</definedName>
    <definedName name="_xlnm.Print_Titles" localSheetId="0">Inventory!$1:$1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J9" authorId="0">
      <text>
        <r>
          <rPr>
            <sz val="8"/>
            <color indexed="81"/>
            <rFont val="Tahoma"/>
            <family val="2"/>
          </rPr>
          <t>. no signal word found</t>
        </r>
      </text>
    </comment>
    <comment ref="C10" authorId="0">
      <text>
        <r>
          <rPr>
            <sz val="8"/>
            <color indexed="81"/>
            <rFont val="Tahoma"/>
            <family val="2"/>
          </rPr>
          <t>Entered by hand: read from the scanned page</t>
        </r>
      </text>
    </comment>
    <comment ref="D10" authorId="0">
      <text>
        <r>
          <rPr>
            <sz val="8"/>
            <color indexed="81"/>
            <rFont val="Tahoma"/>
            <family val="2"/>
          </rPr>
          <t>Entered by hand: read from the scanned page</t>
        </r>
      </text>
    </comment>
    <comment ref="E10" authorId="0">
      <text>
        <r>
          <rPr>
            <sz val="8"/>
            <color indexed="81"/>
            <rFont val="Tahoma"/>
            <family val="2"/>
          </rPr>
          <t>Entered by hand: read from the scanned page</t>
        </r>
      </text>
    </comment>
    <comment ref="J10" authorId="0">
      <text>
        <r>
          <rPr>
            <sz val="8"/>
            <color indexed="81"/>
            <rFont val="Tahoma"/>
            <family val="2"/>
          </rPr>
          <t>Entered by hand: read from the scanned page</t>
        </r>
      </text>
    </comment>
    <comment ref="K10" authorId="0">
      <text>
        <r>
          <rPr>
            <sz val="8"/>
            <color indexed="81"/>
            <rFont val="Tahoma"/>
            <family val="2"/>
          </rPr>
          <t>Entered by hand: read from the scanned page</t>
        </r>
      </text>
    </comment>
  </commentList>
</comments>
</file>

<file path=xl/sharedStrings.xml><?xml version="1.0" encoding="utf-8"?>
<sst xmlns="http://schemas.openxmlformats.org/spreadsheetml/2006/main" count="252" uniqueCount="179">
  <si>
    <t>Settings used by the status formulas</t>
  </si>
  <si>
    <t>Age limit (years)</t>
  </si>
  <si>
    <t>Sheets older than this are flagged 'CHECK FOR NEWER SDS'. OSHA sets no expiry date for safety data sheets; this only prompts a check for a newer version.</t>
  </si>
  <si>
    <t>Update cutoff date</t>
  </si>
  <si>
    <t>Sheets dated before this are flagged too. Default: 2024-07-19, when OSHA's 2024 Hazard Communication update took effect. Clear the cell to turn this check off.</t>
  </si>
  <si>
    <t>Check ages as of</t>
  </si>
  <si>
    <t>The formula =TODAY() keeps ages current each time the file is opened. Type a date to freeze them.</t>
  </si>
  <si>
    <t>Client / site</t>
  </si>
  <si>
    <t>Riverside Auto Care (fictional client)</t>
  </si>
  <si>
    <t>Created</t>
  </si>
  <si>
    <t>2026-10-07 10:49</t>
  </si>
  <si>
    <t>No.</t>
  </si>
  <si>
    <t>Status</t>
  </si>
  <si>
    <t>Product name (from SDS)</t>
  </si>
  <si>
    <t>Manufacturer / supplier</t>
  </si>
  <si>
    <t>SDS date</t>
  </si>
  <si>
    <t>Date type</t>
  </si>
  <si>
    <t>Age (years)</t>
  </si>
  <si>
    <t>Older than limit?</t>
  </si>
  <si>
    <t>Before update cutoff?</t>
  </si>
  <si>
    <t>Signal word</t>
  </si>
  <si>
    <t>Hazard statement codes</t>
  </si>
  <si>
    <t>Codes source</t>
  </si>
  <si>
    <t>Pictograms (from text)</t>
  </si>
  <si>
    <t>SDS version</t>
  </si>
  <si>
    <t>Site list product</t>
  </si>
  <si>
    <t>Location / area</t>
  </si>
  <si>
    <t>Container / qty</t>
  </si>
  <si>
    <t>SDS file</t>
  </si>
  <si>
    <t>Pages</t>
  </si>
  <si>
    <t>Needs review</t>
  </si>
  <si>
    <t>Review notes</t>
  </si>
  <si>
    <t>Issue</t>
  </si>
  <si>
    <t>Checked by / date</t>
  </si>
  <si>
    <t>Corvane Brake Parts Cleaner (Non-Chlorinated)</t>
  </si>
  <si>
    <t>Corvane Automotive Chemicals, Inc.</t>
  </si>
  <si>
    <t>Revision date</t>
  </si>
  <si>
    <t>Danger</t>
  </si>
  <si>
    <t>H222, H229, H315, H336, H411</t>
  </si>
  <si>
    <t>Printed on SDS</t>
  </si>
  <si>
    <t>GHS02 Flame; GHS07 Exclamation mark; GHS09 Environment</t>
  </si>
  <si>
    <t>3.1</t>
  </si>
  <si>
    <t>Corvane_CB-200_Brake-Parts-Cleaner_SDS_US_EN.pdf</t>
  </si>
  <si>
    <t>Service Bays</t>
  </si>
  <si>
    <t>24 x 14 oz aerosol</t>
  </si>
  <si>
    <t>Halberd Rust Penetrant Aerosol</t>
  </si>
  <si>
    <t>Halberd Tool &amp; Chemical Corp.</t>
  </si>
  <si>
    <t>H222, H229, H304, H336</t>
  </si>
  <si>
    <t>Not named in text - check the sheet</t>
  </si>
  <si>
    <t>1.0</t>
  </si>
  <si>
    <t>HALBERD-RUST-PENETRANT-SDS-2019.pdf</t>
  </si>
  <si>
    <t>Halberd Rust Penetrant</t>
  </si>
  <si>
    <t>12 x 11 oz aerosol</t>
  </si>
  <si>
    <t>Ironvale Synthetic Motor Oil 5W-30</t>
  </si>
  <si>
    <t>Ironvale Lubricants LLC</t>
  </si>
  <si>
    <t>None</t>
  </si>
  <si>
    <t>None found</t>
  </si>
  <si>
    <t>None (stated on the sheet)</t>
  </si>
  <si>
    <t>ironvale-5w30-synthetic-sds.pdf</t>
  </si>
  <si>
    <t>10 x 5 qt jug</t>
  </si>
  <si>
    <t>Ridgeback</t>
  </si>
  <si>
    <t>Ridgeback R-1234yf Refrigerant</t>
  </si>
  <si>
    <t>2 x 10 lb cylinder</t>
  </si>
  <si>
    <t>no matching SDS found</t>
  </si>
  <si>
    <t>MISSING SDS</t>
  </si>
  <si>
    <t>Bluepeak All-Season Windshield Washer Fluid -20°F</t>
  </si>
  <si>
    <t>Bluepeak Consumer Products Co.</t>
  </si>
  <si>
    <t>H225, H301, H311, H331, H370</t>
  </si>
  <si>
    <t>From wording (verify)</t>
  </si>
  <si>
    <t>GHS02 Flame; GHS06 Skull and crossbones; GHS08 Health hazard</t>
  </si>
  <si>
    <t>Bluepeak_Washer_Fluid_-20F_SDS.pdf</t>
  </si>
  <si>
    <t>Bluepeak Washer Fluid -20</t>
  </si>
  <si>
    <t>18 x 1 gal jug</t>
  </si>
  <si>
    <t>YES</t>
  </si>
  <si>
    <t>H-codes: not printed on the sheet; matched from the statement wording; check Section 2</t>
  </si>
  <si>
    <t>SALTMARSH AUTOMOTIVE PRIMER - GRAY</t>
  </si>
  <si>
    <t>Saltmarsh Coatings Ltd.</t>
  </si>
  <si>
    <t>Revised</t>
  </si>
  <si>
    <t>H225, H319, H302, H332, H336, H373</t>
  </si>
  <si>
    <t>GHS02 Flame; GHS07 Exclamation mark; GHS08 Health hazard</t>
  </si>
  <si>
    <t>2</t>
  </si>
  <si>
    <t>saltmarsh_primer_gray_sds.pdf</t>
  </si>
  <si>
    <t>Saltmarsh Automotive Primer - Gray</t>
  </si>
  <si>
    <t>Paint &amp; Body Room</t>
  </si>
  <si>
    <t>4 x 1 qt can</t>
  </si>
  <si>
    <t>Gristmill Heavy-Duty Degreaser Concentrate</t>
  </si>
  <si>
    <t>Gristmill Cleaning Solutions, Inc.</t>
  </si>
  <si>
    <t>Issue date</t>
  </si>
  <si>
    <t>H290, H314</t>
  </si>
  <si>
    <t>GHS05 Corrosion</t>
  </si>
  <si>
    <t>Gristmill-HD-Degreaser-GM-HD-5-SDS.pdf</t>
  </si>
  <si>
    <t>Gristmill HD Degreaser Concentrate</t>
  </si>
  <si>
    <t>Parts Washer &amp; Storage</t>
  </si>
  <si>
    <t>2 x 5 gal pail</t>
  </si>
  <si>
    <t>TRI-COUNTY HAND CLEANER W/ PUMICE</t>
  </si>
  <si>
    <t>Tri-County Soap Works</t>
  </si>
  <si>
    <t>Date prepared</t>
  </si>
  <si>
    <t>tri-county-hand-cleaner-msds.pdf</t>
  </si>
  <si>
    <t>Tri-County Hand Cleaner w/ Pumice</t>
  </si>
  <si>
    <t>Office &amp; Janitorial</t>
  </si>
  <si>
    <t>3 x 4.5 lb tub</t>
  </si>
  <si>
    <t>old MSDS format (not the 16-section SDS); request the current SDS from the manufacturer; date '04/12/2008' read as April 12, 2008</t>
  </si>
  <si>
    <t>OLD MSDS FORMAT</t>
  </si>
  <si>
    <t>Pemberton Glass Cleaner</t>
  </si>
  <si>
    <t>Pemberton Household Supply (fictional)</t>
  </si>
  <si>
    <t>Entered by hand</t>
  </si>
  <si>
    <t>Warning</t>
  </si>
  <si>
    <t>H319</t>
  </si>
  <si>
    <t>pemberton-glass-cleaner.pdf</t>
  </si>
  <si>
    <t>6 x 32 oz spray</t>
  </si>
  <si>
    <t>Checked by hand (scanned sheet checked by eye); entered by hand: date, codes, product name, signal word, manufacturer</t>
  </si>
  <si>
    <t>Lanternfly Tire Shine Spray</t>
  </si>
  <si>
    <t>Lanternfly Car Care Co.</t>
  </si>
  <si>
    <t>H223, H229, H412</t>
  </si>
  <si>
    <t>GHS02 Flame</t>
  </si>
  <si>
    <t>1.2</t>
  </si>
  <si>
    <t>lanternfly-tire-shine-sds.pdf</t>
  </si>
  <si>
    <t>not on the site list; ask the client whether this product is still used</t>
  </si>
  <si>
    <t>NOT ON SITE LIST</t>
  </si>
  <si>
    <t>Hazardous chemical list</t>
  </si>
  <si>
    <t>Confirmed by the employer: ______________________________     Date: ______________</t>
  </si>
  <si>
    <t>Product name</t>
  </si>
  <si>
    <t>SDS on file</t>
  </si>
  <si>
    <t>Product names and dates are as printed on each safety data sheet. Sheets are kept in the SDS binder.</t>
  </si>
  <si>
    <t>Section</t>
  </si>
  <si>
    <t>Title</t>
  </si>
  <si>
    <t>File</t>
  </si>
  <si>
    <t>Order</t>
  </si>
  <si>
    <t>Notes</t>
  </si>
  <si>
    <t>Include</t>
  </si>
  <si>
    <t>Bluepeak Consumer Products Co. · Revised Feb 14, 2023</t>
  </si>
  <si>
    <t>yes</t>
  </si>
  <si>
    <t>Corvane Automotive Chemicals, Inc. · Revised Mar 14, 2025</t>
  </si>
  <si>
    <t>Halberd Tool &amp; Chemical Corp. · Revised Jun 30, 2019</t>
  </si>
  <si>
    <t>Ironvale Lubricants LLC · Revised Nov 22, 2024</t>
  </si>
  <si>
    <t>Ridgeback · SDS requested - not yet received</t>
  </si>
  <si>
    <t>Saltmarsh Coatings Ltd. · Revised Feb 14, 2023</t>
  </si>
  <si>
    <t>Gristmill Cleaning Solutions, Inc. · Dated Aug 21, 2025</t>
  </si>
  <si>
    <t>Pemberton Household Supply (fictional) · Revised Sep 3, 2024</t>
  </si>
  <si>
    <t>Tri-County Soap Works · Dated Apr 12, 2008</t>
  </si>
  <si>
    <t>Not on site list</t>
  </si>
  <si>
    <t>Lanternfly Car Care Co. · Revised Jan 12, 2026</t>
  </si>
  <si>
    <t>no</t>
  </si>
  <si>
    <t>Chemical inventory summary</t>
  </si>
  <si>
    <t>Count</t>
  </si>
  <si>
    <t>What to do</t>
  </si>
  <si>
    <t>OK</t>
  </si>
  <si>
    <t>Sheet found, details read clearly, not older than the limit.</t>
  </si>
  <si>
    <t>CHECK FOR NEWER SDS</t>
  </si>
  <si>
    <t>Older than the age limit or dated before the update cutoff. Look for a newer version on the manufacturer's website.</t>
  </si>
  <si>
    <t>REVIEW</t>
  </si>
  <si>
    <t>Something was unclear. Open the PDF and check the highlighted cells.</t>
  </si>
  <si>
    <t>On the site list but no sheet was found. Get the current SDS.</t>
  </si>
  <si>
    <t>REPLACE: OLD FORMAT</t>
  </si>
  <si>
    <t>An old-style MSDS. Get the current 16-section SDS.</t>
  </si>
  <si>
    <t>A sheet was supplied but the product is not on the client's list. Ask the client.</t>
  </si>
  <si>
    <t>Total rows</t>
  </si>
  <si>
    <t>Checked as of</t>
  </si>
  <si>
    <t>2026-10-07</t>
  </si>
  <si>
    <t>2024-07-19</t>
  </si>
  <si>
    <t>How to check this inventory</t>
  </si>
  <si>
    <t>This workbook lists what each safety data sheet (SDS) says. It is not a hazard assessment and it does not classify any chemical. Nothing in the PDFs was changed.</t>
  </si>
  <si>
    <t>How to use it</t>
  </si>
  <si>
    <t>1. Open the Inventory sheet and filter the Status column.</t>
  </si>
  <si>
    <t>2. REVIEW rows: open the PDF named in 'SDS file' and check every highlighted cell. Amber = the script was unsure. Red = not found. Hover over a cell with a red corner to see why. Fix the cell, then clear 'Needs review' (the status updates by itself) and put your initials in 'Checked by / date'.</t>
  </si>
  <si>
    <t>3. CHECK FOR NEWER SDS rows: look for a newer sheet on the manufacturer's or supplier's website and replace the PDF. Then run extract_sds.py again.</t>
  </si>
  <si>
    <t>4. MISSING SDS rows: get the current SDS from the manufacturer, supplier or distributor.</t>
  </si>
  <si>
    <t>5. REPLACE: OLD FORMAT rows: the file is an old-style MSDS. Get the current 16-section SDS.</t>
  </si>
  <si>
    <t>6. NOT ON SITE LIST rows: ask the client whether the product is still used on site.</t>
  </si>
  <si>
    <t>7. Send the finished list to the client to confirm. The client confirms the on-site list; you don't. The 'Chemical List' sheet is a plain printable version (it reads from the Inventory sheet).</t>
  </si>
  <si>
    <t>8. Check the 'Binder Index' sheet (titles, sections, include = yes/no), then build the binder with build_binder.py --sheet "Binder Index".</t>
  </si>
  <si>
    <t>Columns</t>
  </si>
  <si>
    <t>Hazard statement codes come from Section 2 only (codes in Section 3 belong to individual ingredients). 'From wording (verify)' means the sheet printed the statements without codes and the codes were matched from the standard wording.</t>
  </si>
  <si>
    <t>Pictograms are listed only when the sheet names them in text. Most sheets show them as images, so 'Not named in text' is normal: look at the sheet.</t>
  </si>
  <si>
    <t>Age, 'Older than limit?', 'Before update cutoff?' and Status are formulas that read the Settings sheet.</t>
  </si>
  <si>
    <t>Rules</t>
  </si>
  <si>
    <t>Never edit or 'correct' a safety data sheet. If a sheet looks wrong, ask the manufacturer for a corrected one.</t>
  </si>
  <si>
    <t>Don't classify chemicals or give safety advice. Hazard questions go to the sheet, the manufacturer or the employer's safety adviser. A qualified person trains staff.</t>
  </si>
  <si>
    <t>OSHA sets the compliance dates for its revised Hazard Communication Standard. Check the current dates on osha.gov (the employer date is reported as 20 November 2026 for single-substance chemicals).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</si>
</sst>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1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rgb="FF7F7F7F"/>
      <name val="Arial"/>
      <family val="2"/>
    </font>
    <font>
      <b/>
      <sz val="16"/>
      <color rgb="FF1F3A5F"/>
      <name val="Arial"/>
      <family val="2"/>
    </font>
    <font>
      <i/>
      <sz val="10"/>
      <color rgb="FF555555"/>
      <name val="Arial"/>
      <family val="2"/>
    </font>
    <font>
      <b/>
      <sz val="10"/>
      <color rgb="FF333333"/>
      <name val="Arial"/>
      <family val="2"/>
    </font>
    <font>
      <sz val="10"/>
      <color rgb="FF444444"/>
      <name val="Arial"/>
      <family val="2"/>
    </font>
    <font>
      <b/>
      <sz val="12"/>
      <color rgb="FF1F3A5F"/>
      <name val="Arial"/>
      <family val="2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FFF9DB"/>
        <bgColor indexed="64"/>
      </patternFill>
    </fill>
    <fill>
      <patternFill patternType="solid">
        <fgColor rgb="FFFFE9A8"/>
        <bgColor indexed="64"/>
      </patternFill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vertical="center" wrapText="1"/>
    </xf>
    <xf numFmtId="1" fontId="2" fillId="0" borderId="2" xfId="0" applyNumberFormat="1" applyFont="1" applyBorder="1" applyAlignment="1">
      <alignment horizontal="center" vertical="top"/>
    </xf>
    <xf numFmtId="0" fontId="3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64" fontId="2" fillId="0" borderId="2" xfId="0" applyNumberFormat="1" applyFont="1" applyBorder="1" applyAlignment="1">
      <alignment horizontal="center" vertical="top"/>
    </xf>
    <xf numFmtId="165" fontId="2" fillId="0" borderId="2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164" fontId="2" fillId="5" borderId="2" xfId="0" applyNumberFormat="1" applyFont="1" applyFill="1" applyBorder="1" applyAlignment="1">
      <alignment horizontal="center" vertical="top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164" fontId="2" fillId="3" borderId="1" xfId="0" applyNumberFormat="1" applyFont="1" applyFill="1" applyBorder="1" applyAlignment="1">
      <alignment horizontal="left" vertical="top"/>
    </xf>
    <xf numFmtId="0" fontId="2" fillId="0" borderId="0" xfId="0" applyFont="1" applyAlignment="1">
      <alignment vertical="top" wrapText="1"/>
    </xf>
    <xf numFmtId="0" fontId="9" fillId="0" borderId="0" xfId="0" applyFont="1" applyAlignment="1">
      <alignment vertical="top"/>
    </xf>
  </cellXfs>
  <cellStyles count="1">
    <cellStyle name="Normal" xfId="0" builtinId="0"/>
  </cellStyles>
  <dxfs count="5">
    <dxf>
      <font>
        <b/>
        <color rgb="FF006100"/>
      </font>
      <fill>
        <patternFill>
          <bgColor rgb="FFC6EFCE"/>
        </patternFill>
      </fill>
    </dxf>
    <dxf>
      <font>
        <b/>
        <color rgb="FF7F6000"/>
      </font>
      <fill>
        <patternFill>
          <bgColor rgb="FFFFEB9C"/>
        </patternFill>
      </fill>
    </dxf>
    <dxf>
      <font>
        <b/>
        <color rgb="FF843C0C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1F3A5F"/>
      </font>
      <fill>
        <patternFill>
          <bgColor rgb="FFDDEBF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1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5.7109375" customWidth="1"/>
    <col min="2" max="2" width="21.7109375" customWidth="1"/>
    <col min="3" max="3" width="34.7109375" customWidth="1"/>
    <col min="4" max="4" width="28.7109375" customWidth="1"/>
    <col min="5" max="5" width="12.28515625" customWidth="1"/>
    <col min="6" max="6" width="13.7109375" customWidth="1"/>
    <col min="7" max="7" width="8.7109375" customWidth="1"/>
    <col min="8" max="9" width="9.7109375" customWidth="1"/>
    <col min="10" max="10" width="10.7109375" customWidth="1"/>
    <col min="11" max="11" width="26.7109375" customWidth="1"/>
    <col min="12" max="12" width="15.7109375" customWidth="1"/>
    <col min="13" max="13" width="26.7109375" customWidth="1"/>
    <col min="14" max="14" width="8.7109375" customWidth="1"/>
    <col min="15" max="15" width="28.7109375" customWidth="1"/>
    <col min="16" max="16" width="18.7109375" customWidth="1"/>
    <col min="17" max="17" width="14.7109375" customWidth="1"/>
    <col min="18" max="18" width="32.7109375" customWidth="1"/>
    <col min="19" max="19" width="6.7109375" customWidth="1"/>
    <col min="20" max="20" width="8.7109375" customWidth="1"/>
    <col min="21" max="21" width="60.7109375" customWidth="1"/>
    <col min="22" max="22" width="18.7109375" customWidth="1"/>
    <col min="23" max="23" width="14.7109375" customWidth="1"/>
  </cols>
  <sheetData>
    <row r="1" spans="1:23" ht="42" customHeight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</row>
    <row r="2" spans="1:23">
      <c r="A2" s="2">
        <v>1</v>
      </c>
      <c r="B2" s="3" t="str">
        <f>IF(V2="MISSING SDS","MISSING SDS",IF(V2="OLD MSDS FORMAT","REPLACE: OLD FORMAT",IF(T2="YES","REVIEW",IF(OR(H2="YES",I2="YES"),"CHECK FOR NEWER SDS",IF(V2="NOT ON SITE LIST","NOT ON SITE LIST","OK")))))</f>
        <v>OK</v>
      </c>
      <c r="C2" s="4" t="s">
        <v>34</v>
      </c>
      <c r="D2" s="4" t="s">
        <v>35</v>
      </c>
      <c r="E2" s="5">
        <v>45730</v>
      </c>
      <c r="F2" s="4" t="s">
        <v>36</v>
      </c>
      <c r="G2" s="6">
        <f>IF(ISNUMBER(E2),ROUND((Settings!$B$5-E2)/365.25,1),"")</f>
        <v>1.6</v>
      </c>
      <c r="H2" s="7" t="str">
        <f>IF(ISNUMBER(E2),IF((Settings!$B$5-E2)/365.25&gt;Settings!$B$3,"YES","no"),"")</f>
        <v>no</v>
      </c>
      <c r="I2" s="7" t="str">
        <f>IF(AND(ISNUMBER(E2),ISNUMBER(Settings!$B$4)),IF(E2&lt;Settings!$B$4,"YES","no"),"")</f>
        <v>no</v>
      </c>
      <c r="J2" s="4" t="s">
        <v>37</v>
      </c>
      <c r="K2" s="4" t="s">
        <v>38</v>
      </c>
      <c r="L2" s="4" t="s">
        <v>39</v>
      </c>
      <c r="M2" s="4" t="s">
        <v>40</v>
      </c>
      <c r="N2" s="7" t="s">
        <v>41</v>
      </c>
      <c r="O2" s="4" t="s">
        <v>34</v>
      </c>
      <c r="P2" s="4" t="s">
        <v>43</v>
      </c>
      <c r="Q2" s="4" t="s">
        <v>44</v>
      </c>
      <c r="R2" s="4" t="s">
        <v>42</v>
      </c>
      <c r="S2" s="2">
        <v>2</v>
      </c>
      <c r="T2" s="7"/>
      <c r="U2" s="4"/>
      <c r="V2" s="4"/>
      <c r="W2" s="8"/>
    </row>
    <row r="3" spans="1:23">
      <c r="A3" s="2">
        <v>2</v>
      </c>
      <c r="B3" s="3" t="str">
        <f>IF(V3="MISSING SDS","MISSING SDS",IF(V3="OLD MSDS FORMAT","REPLACE: OLD FORMAT",IF(T3="YES","REVIEW",IF(OR(H3="YES",I3="YES"),"CHECK FOR NEWER SDS",IF(V3="NOT ON SITE LIST","NOT ON SITE LIST","OK")))))</f>
        <v>CHECK FOR NEWER SDS</v>
      </c>
      <c r="C3" s="4" t="s">
        <v>45</v>
      </c>
      <c r="D3" s="4" t="s">
        <v>46</v>
      </c>
      <c r="E3" s="5">
        <v>43646</v>
      </c>
      <c r="F3" s="4" t="s">
        <v>36</v>
      </c>
      <c r="G3" s="6">
        <f>IF(ISNUMBER(E3),ROUND((Settings!$B$5-E3)/365.25,1),"")</f>
        <v>7.3</v>
      </c>
      <c r="H3" s="7" t="str">
        <f>IF(ISNUMBER(E3),IF((Settings!$B$5-E3)/365.25&gt;Settings!$B$3,"YES","no"),"")</f>
        <v>YES</v>
      </c>
      <c r="I3" s="7" t="str">
        <f>IF(AND(ISNUMBER(E3),ISNUMBER(Settings!$B$4)),IF(E3&lt;Settings!$B$4,"YES","no"),"")</f>
        <v>YES</v>
      </c>
      <c r="J3" s="4" t="s">
        <v>37</v>
      </c>
      <c r="K3" s="4" t="s">
        <v>47</v>
      </c>
      <c r="L3" s="4" t="s">
        <v>39</v>
      </c>
      <c r="M3" s="9" t="s">
        <v>48</v>
      </c>
      <c r="N3" s="7" t="s">
        <v>49</v>
      </c>
      <c r="O3" s="4" t="s">
        <v>51</v>
      </c>
      <c r="P3" s="4" t="s">
        <v>43</v>
      </c>
      <c r="Q3" s="4" t="s">
        <v>52</v>
      </c>
      <c r="R3" s="4" t="s">
        <v>50</v>
      </c>
      <c r="S3" s="2">
        <v>2</v>
      </c>
      <c r="T3" s="7"/>
      <c r="U3" s="4"/>
      <c r="V3" s="4"/>
      <c r="W3" s="8"/>
    </row>
    <row r="4" spans="1:23">
      <c r="A4" s="2">
        <v>3</v>
      </c>
      <c r="B4" s="3" t="str">
        <f>IF(V4="MISSING SDS","MISSING SDS",IF(V4="OLD MSDS FORMAT","REPLACE: OLD FORMAT",IF(T4="YES","REVIEW",IF(OR(H4="YES",I4="YES"),"CHECK FOR NEWER SDS",IF(V4="NOT ON SITE LIST","NOT ON SITE LIST","OK")))))</f>
        <v>OK</v>
      </c>
      <c r="C4" s="4" t="s">
        <v>53</v>
      </c>
      <c r="D4" s="4" t="s">
        <v>54</v>
      </c>
      <c r="E4" s="5">
        <v>45618</v>
      </c>
      <c r="F4" s="4" t="s">
        <v>36</v>
      </c>
      <c r="G4" s="6">
        <f>IF(ISNUMBER(E4),ROUND((Settings!$B$5-E4)/365.25,1),"")</f>
        <v>1.9</v>
      </c>
      <c r="H4" s="7" t="str">
        <f>IF(ISNUMBER(E4),IF((Settings!$B$5-E4)/365.25&gt;Settings!$B$3,"YES","no"),"")</f>
        <v>no</v>
      </c>
      <c r="I4" s="7" t="str">
        <f>IF(AND(ISNUMBER(E4),ISNUMBER(Settings!$B$4)),IF(E4&lt;Settings!$B$4,"YES","no"),"")</f>
        <v>no</v>
      </c>
      <c r="J4" s="4" t="s">
        <v>55</v>
      </c>
      <c r="K4" s="4"/>
      <c r="L4" s="4" t="s">
        <v>56</v>
      </c>
      <c r="M4" s="4" t="s">
        <v>57</v>
      </c>
      <c r="N4" s="7"/>
      <c r="O4" s="4" t="s">
        <v>53</v>
      </c>
      <c r="P4" s="4" t="s">
        <v>43</v>
      </c>
      <c r="Q4" s="4" t="s">
        <v>59</v>
      </c>
      <c r="R4" s="4" t="s">
        <v>58</v>
      </c>
      <c r="S4" s="2">
        <v>3</v>
      </c>
      <c r="T4" s="7"/>
      <c r="U4" s="4"/>
      <c r="V4" s="4"/>
      <c r="W4" s="8"/>
    </row>
    <row r="5" spans="1:23">
      <c r="A5" s="2">
        <v>4</v>
      </c>
      <c r="B5" s="3" t="str">
        <f>IF(V5="MISSING SDS","MISSING SDS",IF(V5="OLD MSDS FORMAT","REPLACE: OLD FORMAT",IF(T5="YES","REVIEW",IF(OR(H5="YES",I5="YES"),"CHECK FOR NEWER SDS",IF(V5="NOT ON SITE LIST","NOT ON SITE LIST","OK")))))</f>
        <v>MISSING SDS</v>
      </c>
      <c r="C5" s="4"/>
      <c r="D5" s="9" t="s">
        <v>60</v>
      </c>
      <c r="E5" s="4"/>
      <c r="F5" s="4"/>
      <c r="G5" s="6">
        <f>IF(ISNUMBER(E5),ROUND((Settings!$B$5-E5)/365.25,1),"")</f>
        <v/>
      </c>
      <c r="H5" s="7">
        <f>IF(ISNUMBER(E5),IF((Settings!$B$5-E5)/365.25&gt;Settings!$B$3,"YES","no"),"")</f>
        <v/>
      </c>
      <c r="I5" s="7">
        <f>IF(AND(ISNUMBER(E5),ISNUMBER(Settings!$B$4)),IF(E5&lt;Settings!$B$4,"YES","no"),"")</f>
        <v/>
      </c>
      <c r="J5" s="4"/>
      <c r="K5" s="4"/>
      <c r="L5" s="4"/>
      <c r="M5" s="4"/>
      <c r="N5" s="4"/>
      <c r="O5" s="4" t="s">
        <v>61</v>
      </c>
      <c r="P5" s="4" t="s">
        <v>43</v>
      </c>
      <c r="Q5" s="4" t="s">
        <v>62</v>
      </c>
      <c r="R5" s="4"/>
      <c r="S5" s="4"/>
      <c r="T5" s="7"/>
      <c r="U5" s="4" t="s">
        <v>63</v>
      </c>
      <c r="V5" s="4" t="s">
        <v>64</v>
      </c>
      <c r="W5" s="8"/>
    </row>
    <row r="6" spans="1:23">
      <c r="A6" s="2">
        <v>5</v>
      </c>
      <c r="B6" s="3" t="str">
        <f>IF(V6="MISSING SDS","MISSING SDS",IF(V6="OLD MSDS FORMAT","REPLACE: OLD FORMAT",IF(T6="YES","REVIEW",IF(OR(H6="YES",I6="YES"),"CHECK FOR NEWER SDS",IF(V6="NOT ON SITE LIST","NOT ON SITE LIST","OK")))))</f>
        <v>REVIEW</v>
      </c>
      <c r="C6" s="4" t="s">
        <v>65</v>
      </c>
      <c r="D6" s="4" t="s">
        <v>66</v>
      </c>
      <c r="E6" s="5">
        <v>44971</v>
      </c>
      <c r="F6" s="4" t="s">
        <v>36</v>
      </c>
      <c r="G6" s="6">
        <f>IF(ISNUMBER(E6),ROUND((Settings!$B$5-E6)/365.25,1),"")</f>
        <v>3.6</v>
      </c>
      <c r="H6" s="7" t="str">
        <f>IF(ISNUMBER(E6),IF((Settings!$B$5-E6)/365.25&gt;Settings!$B$3,"YES","no"),"")</f>
        <v>YES</v>
      </c>
      <c r="I6" s="7" t="str">
        <f>IF(AND(ISNUMBER(E6),ISNUMBER(Settings!$B$4)),IF(E6&lt;Settings!$B$4,"YES","no"),"")</f>
        <v>YES</v>
      </c>
      <c r="J6" s="4" t="s">
        <v>37</v>
      </c>
      <c r="K6" s="10" t="s">
        <v>67</v>
      </c>
      <c r="L6" s="4" t="s">
        <v>68</v>
      </c>
      <c r="M6" s="4" t="s">
        <v>69</v>
      </c>
      <c r="N6" s="7"/>
      <c r="O6" s="4" t="s">
        <v>71</v>
      </c>
      <c r="P6" s="4" t="s">
        <v>43</v>
      </c>
      <c r="Q6" s="4" t="s">
        <v>72</v>
      </c>
      <c r="R6" s="4" t="s">
        <v>70</v>
      </c>
      <c r="S6" s="2">
        <v>2</v>
      </c>
      <c r="T6" s="7" t="s">
        <v>73</v>
      </c>
      <c r="U6" s="4" t="s">
        <v>74</v>
      </c>
      <c r="V6" s="4"/>
      <c r="W6" s="8"/>
    </row>
    <row r="7" spans="1:23">
      <c r="A7" s="2">
        <v>6</v>
      </c>
      <c r="B7" s="3" t="str">
        <f>IF(V7="MISSING SDS","MISSING SDS",IF(V7="OLD MSDS FORMAT","REPLACE: OLD FORMAT",IF(T7="YES","REVIEW",IF(OR(H7="YES",I7="YES"),"CHECK FOR NEWER SDS",IF(V7="NOT ON SITE LIST","NOT ON SITE LIST","OK")))))</f>
        <v>CHECK FOR NEWER SDS</v>
      </c>
      <c r="C7" s="4" t="s">
        <v>75</v>
      </c>
      <c r="D7" s="4" t="s">
        <v>76</v>
      </c>
      <c r="E7" s="5">
        <v>44971</v>
      </c>
      <c r="F7" s="4" t="s">
        <v>77</v>
      </c>
      <c r="G7" s="6">
        <f>IF(ISNUMBER(E7),ROUND((Settings!$B$5-E7)/365.25,1),"")</f>
        <v>3.6</v>
      </c>
      <c r="H7" s="7" t="str">
        <f>IF(ISNUMBER(E7),IF((Settings!$B$5-E7)/365.25&gt;Settings!$B$3,"YES","no"),"")</f>
        <v>YES</v>
      </c>
      <c r="I7" s="7" t="str">
        <f>IF(AND(ISNUMBER(E7),ISNUMBER(Settings!$B$4)),IF(E7&lt;Settings!$B$4,"YES","no"),"")</f>
        <v>YES</v>
      </c>
      <c r="J7" s="4" t="s">
        <v>37</v>
      </c>
      <c r="K7" s="4" t="s">
        <v>78</v>
      </c>
      <c r="L7" s="4" t="s">
        <v>39</v>
      </c>
      <c r="M7" s="4" t="s">
        <v>79</v>
      </c>
      <c r="N7" s="7" t="s">
        <v>80</v>
      </c>
      <c r="O7" s="4" t="s">
        <v>82</v>
      </c>
      <c r="P7" s="4" t="s">
        <v>83</v>
      </c>
      <c r="Q7" s="4" t="s">
        <v>84</v>
      </c>
      <c r="R7" s="4" t="s">
        <v>81</v>
      </c>
      <c r="S7" s="2">
        <v>2</v>
      </c>
      <c r="T7" s="7"/>
      <c r="U7" s="4"/>
      <c r="V7" s="4"/>
      <c r="W7" s="8"/>
    </row>
    <row r="8" spans="1:23">
      <c r="A8" s="2">
        <v>7</v>
      </c>
      <c r="B8" s="3" t="str">
        <f>IF(V8="MISSING SDS","MISSING SDS",IF(V8="OLD MSDS FORMAT","REPLACE: OLD FORMAT",IF(T8="YES","REVIEW",IF(OR(H8="YES",I8="YES"),"CHECK FOR NEWER SDS",IF(V8="NOT ON SITE LIST","NOT ON SITE LIST","OK")))))</f>
        <v>OK</v>
      </c>
      <c r="C8" s="4" t="s">
        <v>85</v>
      </c>
      <c r="D8" s="4" t="s">
        <v>86</v>
      </c>
      <c r="E8" s="5">
        <v>45890</v>
      </c>
      <c r="F8" s="4" t="s">
        <v>87</v>
      </c>
      <c r="G8" s="6">
        <f>IF(ISNUMBER(E8),ROUND((Settings!$B$5-E8)/365.25,1),"")</f>
        <v>1.1</v>
      </c>
      <c r="H8" s="7" t="str">
        <f>IF(ISNUMBER(E8),IF((Settings!$B$5-E8)/365.25&gt;Settings!$B$3,"YES","no"),"")</f>
        <v>no</v>
      </c>
      <c r="I8" s="7" t="str">
        <f>IF(AND(ISNUMBER(E8),ISNUMBER(Settings!$B$4)),IF(E8&lt;Settings!$B$4,"YES","no"),"")</f>
        <v>no</v>
      </c>
      <c r="J8" s="4" t="s">
        <v>37</v>
      </c>
      <c r="K8" s="4" t="s">
        <v>88</v>
      </c>
      <c r="L8" s="4" t="s">
        <v>39</v>
      </c>
      <c r="M8" s="4" t="s">
        <v>89</v>
      </c>
      <c r="N8" s="7"/>
      <c r="O8" s="4" t="s">
        <v>91</v>
      </c>
      <c r="P8" s="4" t="s">
        <v>92</v>
      </c>
      <c r="Q8" s="4" t="s">
        <v>93</v>
      </c>
      <c r="R8" s="4" t="s">
        <v>90</v>
      </c>
      <c r="S8" s="2">
        <v>3</v>
      </c>
      <c r="T8" s="7"/>
      <c r="U8" s="4"/>
      <c r="V8" s="4"/>
      <c r="W8" s="8"/>
    </row>
    <row r="9" spans="1:23">
      <c r="A9" s="2">
        <v>8</v>
      </c>
      <c r="B9" s="3" t="str">
        <f>IF(V9="MISSING SDS","MISSING SDS",IF(V9="OLD MSDS FORMAT","REPLACE: OLD FORMAT",IF(T9="YES","REVIEW",IF(OR(H9="YES",I9="YES"),"CHECK FOR NEWER SDS",IF(V9="NOT ON SITE LIST","NOT ON SITE LIST","OK")))))</f>
        <v>REPLACE: OLD FORMAT</v>
      </c>
      <c r="C9" s="4" t="s">
        <v>94</v>
      </c>
      <c r="D9" s="4" t="s">
        <v>95</v>
      </c>
      <c r="E9" s="5">
        <v>39550</v>
      </c>
      <c r="F9" s="4" t="s">
        <v>96</v>
      </c>
      <c r="G9" s="6">
        <f>IF(ISNUMBER(E9),ROUND((Settings!$B$5-E9)/365.25,1),"")</f>
        <v>18.5</v>
      </c>
      <c r="H9" s="7" t="str">
        <f>IF(ISNUMBER(E9),IF((Settings!$B$5-E9)/365.25&gt;Settings!$B$3,"YES","no"),"")</f>
        <v>YES</v>
      </c>
      <c r="I9" s="7" t="str">
        <f>IF(AND(ISNUMBER(E9),ISNUMBER(Settings!$B$4)),IF(E9&lt;Settings!$B$4,"YES","no"),"")</f>
        <v>YES</v>
      </c>
      <c r="J9" s="4"/>
      <c r="K9" s="4"/>
      <c r="L9" s="4" t="s">
        <v>56</v>
      </c>
      <c r="M9" s="9" t="s">
        <v>48</v>
      </c>
      <c r="N9" s="7"/>
      <c r="O9" s="4" t="s">
        <v>98</v>
      </c>
      <c r="P9" s="4" t="s">
        <v>99</v>
      </c>
      <c r="Q9" s="4" t="s">
        <v>100</v>
      </c>
      <c r="R9" s="4" t="s">
        <v>97</v>
      </c>
      <c r="S9" s="2">
        <v>1</v>
      </c>
      <c r="T9" s="7" t="s">
        <v>73</v>
      </c>
      <c r="U9" s="4" t="s">
        <v>101</v>
      </c>
      <c r="V9" s="4" t="s">
        <v>102</v>
      </c>
      <c r="W9" s="8"/>
    </row>
    <row r="10" spans="1:23">
      <c r="A10" s="2">
        <v>9</v>
      </c>
      <c r="B10" s="3" t="str">
        <f>IF(V10="MISSING SDS","MISSING SDS",IF(V10="OLD MSDS FORMAT","REPLACE: OLD FORMAT",IF(T10="YES","REVIEW",IF(OR(H10="YES",I10="YES"),"CHECK FOR NEWER SDS",IF(V10="NOT ON SITE LIST","NOT ON SITE LIST","OK")))))</f>
        <v>OK</v>
      </c>
      <c r="C10" s="11" t="s">
        <v>103</v>
      </c>
      <c r="D10" s="11" t="s">
        <v>104</v>
      </c>
      <c r="E10" s="12">
        <v>45538</v>
      </c>
      <c r="F10" s="4" t="s">
        <v>105</v>
      </c>
      <c r="G10" s="6">
        <f>IF(ISNUMBER(E10),ROUND((Settings!$B$5-E10)/365.25,1),"")</f>
        <v>2.1</v>
      </c>
      <c r="H10" s="7" t="str">
        <f>IF(ISNUMBER(E10),IF((Settings!$B$5-E10)/365.25&gt;Settings!$B$3,"YES","no"),"")</f>
        <v>no</v>
      </c>
      <c r="I10" s="7" t="str">
        <f>IF(AND(ISNUMBER(E10),ISNUMBER(Settings!$B$4)),IF(E10&lt;Settings!$B$4,"YES","no"),"")</f>
        <v>no</v>
      </c>
      <c r="J10" s="11" t="s">
        <v>106</v>
      </c>
      <c r="K10" s="11" t="s">
        <v>107</v>
      </c>
      <c r="L10" s="4" t="s">
        <v>105</v>
      </c>
      <c r="M10" s="9" t="s">
        <v>48</v>
      </c>
      <c r="N10" s="7"/>
      <c r="O10" s="4" t="s">
        <v>103</v>
      </c>
      <c r="P10" s="4" t="s">
        <v>99</v>
      </c>
      <c r="Q10" s="4" t="s">
        <v>109</v>
      </c>
      <c r="R10" s="4" t="s">
        <v>108</v>
      </c>
      <c r="S10" s="2">
        <v>2</v>
      </c>
      <c r="T10" s="7"/>
      <c r="U10" s="4" t="s">
        <v>110</v>
      </c>
      <c r="V10" s="4"/>
      <c r="W10" s="8"/>
    </row>
    <row r="11" spans="1:23">
      <c r="A11" s="2">
        <v>10</v>
      </c>
      <c r="B11" s="3" t="str">
        <f>IF(V11="MISSING SDS","MISSING SDS",IF(V11="OLD MSDS FORMAT","REPLACE: OLD FORMAT",IF(T11="YES","REVIEW",IF(OR(H11="YES",I11="YES"),"CHECK FOR NEWER SDS",IF(V11="NOT ON SITE LIST","NOT ON SITE LIST","OK")))))</f>
        <v>NOT ON SITE LIST</v>
      </c>
      <c r="C11" s="4" t="s">
        <v>111</v>
      </c>
      <c r="D11" s="4" t="s">
        <v>112</v>
      </c>
      <c r="E11" s="5">
        <v>46034</v>
      </c>
      <c r="F11" s="4" t="s">
        <v>36</v>
      </c>
      <c r="G11" s="6">
        <f>IF(ISNUMBER(E11),ROUND((Settings!$B$5-E11)/365.25,1),"")</f>
        <v>0.7</v>
      </c>
      <c r="H11" s="7" t="str">
        <f>IF(ISNUMBER(E11),IF((Settings!$B$5-E11)/365.25&gt;Settings!$B$3,"YES","no"),"")</f>
        <v>no</v>
      </c>
      <c r="I11" s="7" t="str">
        <f>IF(AND(ISNUMBER(E11),ISNUMBER(Settings!$B$4)),IF(E11&lt;Settings!$B$4,"YES","no"),"")</f>
        <v>no</v>
      </c>
      <c r="J11" s="4" t="s">
        <v>106</v>
      </c>
      <c r="K11" s="4" t="s">
        <v>113</v>
      </c>
      <c r="L11" s="4" t="s">
        <v>39</v>
      </c>
      <c r="M11" s="4" t="s">
        <v>114</v>
      </c>
      <c r="N11" s="7" t="s">
        <v>115</v>
      </c>
      <c r="O11" s="4"/>
      <c r="P11" s="4"/>
      <c r="Q11" s="4"/>
      <c r="R11" s="4" t="s">
        <v>116</v>
      </c>
      <c r="S11" s="2">
        <v>2</v>
      </c>
      <c r="T11" s="7"/>
      <c r="U11" s="4" t="s">
        <v>117</v>
      </c>
      <c r="V11" s="4" t="s">
        <v>118</v>
      </c>
      <c r="W11" s="8"/>
    </row>
  </sheetData>
  <autoFilter ref="A1:W11"/>
  <conditionalFormatting sqref="B2:B11">
    <cfRule type="cellIs" dxfId="0" priority="1" operator="equal">
      <formula>"OK"</formula>
    </cfRule>
    <cfRule type="cellIs" dxfId="1" priority="2" operator="equal">
      <formula>"REVIEW"</formula>
    </cfRule>
    <cfRule type="cellIs" dxfId="2" priority="3" operator="equal">
      <formula>"CHECK FOR NEWER SDS"</formula>
    </cfRule>
    <cfRule type="cellIs" dxfId="3" priority="4" operator="equal">
      <formula>"MISSING SDS"</formula>
    </cfRule>
    <cfRule type="cellIs" dxfId="3" priority="5" operator="equal">
      <formula>"REPLACE: OLD FORMAT"</formula>
    </cfRule>
    <cfRule type="cellIs" dxfId="4" priority="6" operator="equal">
      <formula>"NOT ON SITE LIST"</formula>
    </cfRule>
  </conditionalFormatting>
  <conditionalFormatting sqref="H2:H11">
    <cfRule type="cellIs" dxfId="2" priority="7" operator="equal">
      <formula>"YES"</formula>
    </cfRule>
  </conditionalFormatting>
  <conditionalFormatting sqref="I2:I11">
    <cfRule type="cellIs" dxfId="2" priority="8" operator="equal">
      <formula>"YES"</formula>
    </cfRule>
  </conditionalFormatting>
  <conditionalFormatting sqref="T2:T11">
    <cfRule type="cellIs" dxfId="2" priority="9" operator="equal">
      <formula>"YES"</formula>
    </cfRule>
  </conditionalFormatting>
  <pageMargins left="0.7" right="0.7" top="0.75" bottom="0.75" header="0.3" footer="0.3"/>
  <pageSetup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6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5.7109375" customWidth="1"/>
    <col min="2" max="2" width="42.7109375" customWidth="1"/>
    <col min="3" max="3" width="32.7109375" customWidth="1"/>
    <col min="4" max="4" width="24.7109375" customWidth="1"/>
    <col min="5" max="5" width="12.7109375" customWidth="1"/>
    <col min="6" max="6" width="11.7109375" customWidth="1"/>
  </cols>
  <sheetData>
    <row r="1" spans="1:6">
      <c r="A1" s="13" t="s">
        <v>119</v>
      </c>
    </row>
    <row r="2" spans="1:6">
      <c r="A2" s="14" t="s">
        <v>8</v>
      </c>
    </row>
    <row r="3" spans="1:6">
      <c r="A3" s="15" t="s">
        <v>120</v>
      </c>
    </row>
    <row r="5" spans="1:6">
      <c r="A5" s="1" t="s">
        <v>11</v>
      </c>
      <c r="B5" s="1" t="s">
        <v>121</v>
      </c>
      <c r="C5" s="1" t="s">
        <v>14</v>
      </c>
      <c r="D5" s="1" t="s">
        <v>26</v>
      </c>
      <c r="E5" s="1" t="s">
        <v>15</v>
      </c>
      <c r="F5" s="1" t="s">
        <v>122</v>
      </c>
    </row>
    <row r="6" spans="1:6">
      <c r="A6" s="2">
        <v>1</v>
      </c>
      <c r="B6" s="4" t="str">
        <f>IF(Inventory!C2&lt;&gt;"",Inventory!C2,Inventory!O2&amp;"")</f>
        <v>Corvane Brake Parts Cleaner (Non-Chlorinated)</v>
      </c>
      <c r="C6" s="4" t="str">
        <f>Inventory!D2&amp;""</f>
        <v>Corvane Automotive Chemicals, Inc.</v>
      </c>
      <c r="D6" s="4" t="str">
        <f>Inventory!P2&amp;""</f>
        <v>Service Bays</v>
      </c>
      <c r="E6" s="5">
        <f>IF(ISNUMBER(Inventory!E2),Inventory!E2,"")</f>
        <v>45730</v>
      </c>
      <c r="F6" s="7" t="str">
        <f>IF(Inventory!R2="","MISSING","Yes")</f>
        <v>Yes</v>
      </c>
    </row>
    <row r="7" spans="1:6">
      <c r="A7" s="2">
        <v>2</v>
      </c>
      <c r="B7" s="4" t="str">
        <f>IF(Inventory!C3&lt;&gt;"",Inventory!C3,Inventory!O3&amp;"")</f>
        <v>Halberd Rust Penetrant Aerosol</v>
      </c>
      <c r="C7" s="4" t="str">
        <f>Inventory!D3&amp;""</f>
        <v>Halberd Tool &amp; Chemical Corp.</v>
      </c>
      <c r="D7" s="4" t="str">
        <f>Inventory!P3&amp;""</f>
        <v>Service Bays</v>
      </c>
      <c r="E7" s="5">
        <f>IF(ISNUMBER(Inventory!E3),Inventory!E3,"")</f>
        <v>43646</v>
      </c>
      <c r="F7" s="7" t="str">
        <f>IF(Inventory!R3="","MISSING","Yes")</f>
        <v>Yes</v>
      </c>
    </row>
    <row r="8" spans="1:6">
      <c r="A8" s="2">
        <v>3</v>
      </c>
      <c r="B8" s="4" t="str">
        <f>IF(Inventory!C4&lt;&gt;"",Inventory!C4,Inventory!O4&amp;"")</f>
        <v>Ironvale Synthetic Motor Oil 5W-30</v>
      </c>
      <c r="C8" s="4" t="str">
        <f>Inventory!D4&amp;""</f>
        <v>Ironvale Lubricants LLC</v>
      </c>
      <c r="D8" s="4" t="str">
        <f>Inventory!P4&amp;""</f>
        <v>Service Bays</v>
      </c>
      <c r="E8" s="5">
        <f>IF(ISNUMBER(Inventory!E4),Inventory!E4,"")</f>
        <v>45618</v>
      </c>
      <c r="F8" s="7" t="str">
        <f>IF(Inventory!R4="","MISSING","Yes")</f>
        <v>Yes</v>
      </c>
    </row>
    <row r="9" spans="1:6">
      <c r="A9" s="2">
        <v>4</v>
      </c>
      <c r="B9" s="4" t="str">
        <f>IF(Inventory!C5&lt;&gt;"",Inventory!C5,Inventory!O5&amp;"")</f>
        <v>Ridgeback R-1234yf Refrigerant</v>
      </c>
      <c r="C9" s="4" t="str">
        <f>Inventory!D5&amp;""</f>
        <v>Ridgeback</v>
      </c>
      <c r="D9" s="4" t="str">
        <f>Inventory!P5&amp;""</f>
        <v>Service Bays</v>
      </c>
      <c r="E9" s="5">
        <f>IF(ISNUMBER(Inventory!E5),Inventory!E5,"")</f>
        <v/>
      </c>
      <c r="F9" s="7" t="str">
        <f>IF(Inventory!R5="","MISSING","Yes")</f>
        <v>MISSING</v>
      </c>
    </row>
    <row r="10" spans="1:6">
      <c r="A10" s="2">
        <v>5</v>
      </c>
      <c r="B10" s="4" t="str">
        <f>IF(Inventory!C6&lt;&gt;"",Inventory!C6,Inventory!O6&amp;"")</f>
        <v>Bluepeak All-Season Windshield Washer Fluid -20°F</v>
      </c>
      <c r="C10" s="4" t="str">
        <f>Inventory!D6&amp;""</f>
        <v>Bluepeak Consumer Products Co.</v>
      </c>
      <c r="D10" s="4" t="str">
        <f>Inventory!P6&amp;""</f>
        <v>Service Bays</v>
      </c>
      <c r="E10" s="5">
        <f>IF(ISNUMBER(Inventory!E6),Inventory!E6,"")</f>
        <v>44971</v>
      </c>
      <c r="F10" s="7" t="str">
        <f>IF(Inventory!R6="","MISSING","Yes")</f>
        <v>Yes</v>
      </c>
    </row>
    <row r="11" spans="1:6">
      <c r="A11" s="2">
        <v>6</v>
      </c>
      <c r="B11" s="4" t="str">
        <f>IF(Inventory!C7&lt;&gt;"",Inventory!C7,Inventory!O7&amp;"")</f>
        <v>SALTMARSH AUTOMOTIVE PRIMER - GRAY</v>
      </c>
      <c r="C11" s="4" t="str">
        <f>Inventory!D7&amp;""</f>
        <v>Saltmarsh Coatings Ltd.</v>
      </c>
      <c r="D11" s="4" t="str">
        <f>Inventory!P7&amp;""</f>
        <v>Paint &amp; Body Room</v>
      </c>
      <c r="E11" s="5">
        <f>IF(ISNUMBER(Inventory!E7),Inventory!E7,"")</f>
        <v>44971</v>
      </c>
      <c r="F11" s="7" t="str">
        <f>IF(Inventory!R7="","MISSING","Yes")</f>
        <v>Yes</v>
      </c>
    </row>
    <row r="12" spans="1:6">
      <c r="A12" s="2">
        <v>7</v>
      </c>
      <c r="B12" s="4" t="str">
        <f>IF(Inventory!C8&lt;&gt;"",Inventory!C8,Inventory!O8&amp;"")</f>
        <v>Gristmill Heavy-Duty Degreaser Concentrate</v>
      </c>
      <c r="C12" s="4" t="str">
        <f>Inventory!D8&amp;""</f>
        <v>Gristmill Cleaning Solutions, Inc.</v>
      </c>
      <c r="D12" s="4" t="str">
        <f>Inventory!P8&amp;""</f>
        <v>Parts Washer &amp; Storage</v>
      </c>
      <c r="E12" s="5">
        <f>IF(ISNUMBER(Inventory!E8),Inventory!E8,"")</f>
        <v>45890</v>
      </c>
      <c r="F12" s="7" t="str">
        <f>IF(Inventory!R8="","MISSING","Yes")</f>
        <v>Yes</v>
      </c>
    </row>
    <row r="13" spans="1:6">
      <c r="A13" s="2">
        <v>8</v>
      </c>
      <c r="B13" s="4" t="str">
        <f>IF(Inventory!C9&lt;&gt;"",Inventory!C9,Inventory!O9&amp;"")</f>
        <v>TRI-COUNTY HAND CLEANER W/ PUMICE</v>
      </c>
      <c r="C13" s="4" t="str">
        <f>Inventory!D9&amp;""</f>
        <v>Tri-County Soap Works</v>
      </c>
      <c r="D13" s="4" t="str">
        <f>Inventory!P9&amp;""</f>
        <v>Office &amp; Janitorial</v>
      </c>
      <c r="E13" s="5">
        <f>IF(ISNUMBER(Inventory!E9),Inventory!E9,"")</f>
        <v>39550</v>
      </c>
      <c r="F13" s="7" t="str">
        <f>IF(Inventory!R9="","MISSING","Yes")</f>
        <v>Yes</v>
      </c>
    </row>
    <row r="14" spans="1:6">
      <c r="A14" s="2">
        <v>9</v>
      </c>
      <c r="B14" s="4" t="str">
        <f>IF(Inventory!C10&lt;&gt;"",Inventory!C10,Inventory!O10&amp;"")</f>
        <v>Pemberton Glass Cleaner</v>
      </c>
      <c r="C14" s="4" t="str">
        <f>Inventory!D10&amp;""</f>
        <v>Pemberton Household Supply (fictional)</v>
      </c>
      <c r="D14" s="4" t="str">
        <f>Inventory!P10&amp;""</f>
        <v>Office &amp; Janitorial</v>
      </c>
      <c r="E14" s="5">
        <f>IF(ISNUMBER(Inventory!E10),Inventory!E10,"")</f>
        <v>45538</v>
      </c>
      <c r="F14" s="7" t="str">
        <f>IF(Inventory!R10="","MISSING","Yes")</f>
        <v>Yes</v>
      </c>
    </row>
    <row r="16" spans="1:6">
      <c r="A16" s="14" t="s">
        <v>123</v>
      </c>
    </row>
  </sheetData>
  <conditionalFormatting sqref="F6:F14">
    <cfRule type="cellIs" dxfId="3" priority="1" operator="equal">
      <formula>"MISSING"</formula>
    </cfRule>
  </conditionalFormatting>
  <pageMargins left="0.7" right="0.7" top="0.75" bottom="0.75" header="0.3" footer="0.3"/>
  <pageSetup paperSize="1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44.7109375" customWidth="1"/>
    <col min="3" max="3" width="36.7109375" customWidth="1"/>
    <col min="4" max="4" width="7.7109375" customWidth="1"/>
    <col min="5" max="5" width="60.7109375" customWidth="1"/>
    <col min="6" max="6" width="9.7109375" customWidth="1"/>
  </cols>
  <sheetData>
    <row r="1" spans="1:6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</row>
    <row r="2" spans="1:6">
      <c r="A2" s="4" t="s">
        <v>43</v>
      </c>
      <c r="B2" s="4" t="s">
        <v>65</v>
      </c>
      <c r="C2" s="4" t="s">
        <v>70</v>
      </c>
      <c r="D2" s="2">
        <v>1</v>
      </c>
      <c r="E2" s="4" t="s">
        <v>130</v>
      </c>
      <c r="F2" s="7" t="s">
        <v>131</v>
      </c>
    </row>
    <row r="3" spans="1:6">
      <c r="A3" s="4" t="s">
        <v>43</v>
      </c>
      <c r="B3" s="4" t="s">
        <v>34</v>
      </c>
      <c r="C3" s="4" t="s">
        <v>42</v>
      </c>
      <c r="D3" s="2">
        <v>2</v>
      </c>
      <c r="E3" s="4" t="s">
        <v>132</v>
      </c>
      <c r="F3" s="7" t="s">
        <v>131</v>
      </c>
    </row>
    <row r="4" spans="1:6">
      <c r="A4" s="4" t="s">
        <v>43</v>
      </c>
      <c r="B4" s="4" t="s">
        <v>45</v>
      </c>
      <c r="C4" s="4" t="s">
        <v>50</v>
      </c>
      <c r="D4" s="2">
        <v>3</v>
      </c>
      <c r="E4" s="4" t="s">
        <v>133</v>
      </c>
      <c r="F4" s="7" t="s">
        <v>131</v>
      </c>
    </row>
    <row r="5" spans="1:6">
      <c r="A5" s="4" t="s">
        <v>43</v>
      </c>
      <c r="B5" s="4" t="s">
        <v>53</v>
      </c>
      <c r="C5" s="4" t="s">
        <v>58</v>
      </c>
      <c r="D5" s="2">
        <v>4</v>
      </c>
      <c r="E5" s="4" t="s">
        <v>134</v>
      </c>
      <c r="F5" s="7" t="s">
        <v>131</v>
      </c>
    </row>
    <row r="6" spans="1:6">
      <c r="A6" s="4" t="s">
        <v>43</v>
      </c>
      <c r="B6" s="4" t="s">
        <v>61</v>
      </c>
      <c r="C6" s="4"/>
      <c r="D6" s="2">
        <v>5</v>
      </c>
      <c r="E6" s="4" t="s">
        <v>135</v>
      </c>
      <c r="F6" s="7" t="s">
        <v>131</v>
      </c>
    </row>
    <row r="7" spans="1:6">
      <c r="A7" s="4" t="s">
        <v>83</v>
      </c>
      <c r="B7" s="4" t="s">
        <v>75</v>
      </c>
      <c r="C7" s="4" t="s">
        <v>81</v>
      </c>
      <c r="D7" s="2">
        <v>6</v>
      </c>
      <c r="E7" s="4" t="s">
        <v>136</v>
      </c>
      <c r="F7" s="7" t="s">
        <v>131</v>
      </c>
    </row>
    <row r="8" spans="1:6">
      <c r="A8" s="4" t="s">
        <v>92</v>
      </c>
      <c r="B8" s="4" t="s">
        <v>85</v>
      </c>
      <c r="C8" s="4" t="s">
        <v>90</v>
      </c>
      <c r="D8" s="2">
        <v>7</v>
      </c>
      <c r="E8" s="4" t="s">
        <v>137</v>
      </c>
      <c r="F8" s="7" t="s">
        <v>131</v>
      </c>
    </row>
    <row r="9" spans="1:6">
      <c r="A9" s="4" t="s">
        <v>99</v>
      </c>
      <c r="B9" s="4" t="s">
        <v>103</v>
      </c>
      <c r="C9" s="4" t="s">
        <v>108</v>
      </c>
      <c r="D9" s="2">
        <v>8</v>
      </c>
      <c r="E9" s="4" t="s">
        <v>138</v>
      </c>
      <c r="F9" s="7" t="s">
        <v>131</v>
      </c>
    </row>
    <row r="10" spans="1:6">
      <c r="A10" s="4" t="s">
        <v>99</v>
      </c>
      <c r="B10" s="4" t="s">
        <v>94</v>
      </c>
      <c r="C10" s="4" t="s">
        <v>97</v>
      </c>
      <c r="D10" s="2">
        <v>9</v>
      </c>
      <c r="E10" s="4" t="s">
        <v>139</v>
      </c>
      <c r="F10" s="7" t="s">
        <v>131</v>
      </c>
    </row>
    <row r="11" spans="1:6">
      <c r="A11" s="4" t="s">
        <v>140</v>
      </c>
      <c r="B11" s="4" t="s">
        <v>111</v>
      </c>
      <c r="C11" s="4" t="s">
        <v>116</v>
      </c>
      <c r="D11" s="2">
        <v>10</v>
      </c>
      <c r="E11" s="4" t="s">
        <v>141</v>
      </c>
      <c r="F11" s="7" t="s">
        <v>142</v>
      </c>
    </row>
  </sheetData>
  <autoFilter ref="A1:F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showGridLines="0" workbookViewId="0"/>
  </sheetViews>
  <sheetFormatPr defaultRowHeight="15"/>
  <cols>
    <col min="1" max="1" width="30.7109375" customWidth="1"/>
    <col min="2" max="2" width="12.7109375" customWidth="1"/>
    <col min="3" max="3" width="80.7109375" customWidth="1"/>
  </cols>
  <sheetData>
    <row r="1" spans="1:3">
      <c r="A1" s="13" t="s">
        <v>143</v>
      </c>
    </row>
    <row r="2" spans="1:3">
      <c r="A2" s="14" t="s">
        <v>8</v>
      </c>
    </row>
    <row r="4" spans="1:3">
      <c r="A4" s="1" t="s">
        <v>12</v>
      </c>
      <c r="B4" s="1" t="s">
        <v>144</v>
      </c>
      <c r="C4" s="1" t="s">
        <v>145</v>
      </c>
    </row>
    <row r="5" spans="1:3">
      <c r="A5" s="3" t="s">
        <v>146</v>
      </c>
      <c r="B5" s="2">
        <f>COUNTIF(Inventory!$B:$B,"OK")</f>
        <v>4</v>
      </c>
      <c r="C5" s="4" t="s">
        <v>147</v>
      </c>
    </row>
    <row r="6" spans="1:3">
      <c r="A6" s="3" t="s">
        <v>148</v>
      </c>
      <c r="B6" s="2">
        <f>COUNTIF(Inventory!$B:$B,"CHECK FOR NEWER SDS")</f>
        <v>2</v>
      </c>
      <c r="C6" s="4" t="s">
        <v>149</v>
      </c>
    </row>
    <row r="7" spans="1:3">
      <c r="A7" s="3" t="s">
        <v>150</v>
      </c>
      <c r="B7" s="2">
        <f>COUNTIF(Inventory!$B:$B,"REVIEW")</f>
        <v>1</v>
      </c>
      <c r="C7" s="4" t="s">
        <v>151</v>
      </c>
    </row>
    <row r="8" spans="1:3">
      <c r="A8" s="3" t="s">
        <v>64</v>
      </c>
      <c r="B8" s="2">
        <f>COUNTIF(Inventory!$B:$B,"MISSING SDS")</f>
        <v>1</v>
      </c>
      <c r="C8" s="4" t="s">
        <v>152</v>
      </c>
    </row>
    <row r="9" spans="1:3">
      <c r="A9" s="3" t="s">
        <v>153</v>
      </c>
      <c r="B9" s="2">
        <f>COUNTIF(Inventory!$B:$B,"REPLACE: OLD FORMAT")</f>
        <v>1</v>
      </c>
      <c r="C9" s="4" t="s">
        <v>154</v>
      </c>
    </row>
    <row r="10" spans="1:3">
      <c r="A10" s="3" t="s">
        <v>118</v>
      </c>
      <c r="B10" s="2">
        <f>COUNTIF(Inventory!$B:$B,"NOT ON SITE LIST")</f>
        <v>1</v>
      </c>
      <c r="C10" s="4" t="s">
        <v>155</v>
      </c>
    </row>
    <row r="11" spans="1:3">
      <c r="A11" s="3" t="s">
        <v>156</v>
      </c>
      <c r="B11" s="2">
        <f>SUM(B5:B10)</f>
        <v>10</v>
      </c>
    </row>
    <row r="13" spans="1:3">
      <c r="A13" s="15" t="s">
        <v>157</v>
      </c>
      <c r="B13" t="s">
        <v>158</v>
      </c>
    </row>
    <row r="14" spans="1:3">
      <c r="A14" s="15" t="s">
        <v>1</v>
      </c>
      <c r="B14">
        <v>3</v>
      </c>
    </row>
    <row r="15" spans="1:3">
      <c r="A15" s="15" t="s">
        <v>3</v>
      </c>
      <c r="B15" t="s">
        <v>159</v>
      </c>
    </row>
  </sheetData>
  <conditionalFormatting sqref="A5:A10">
    <cfRule type="cellIs" dxfId="0" priority="1" operator="equal">
      <formula>"OK"</formula>
    </cfRule>
    <cfRule type="cellIs" dxfId="1" priority="2" operator="equal">
      <formula>"REVIEW"</formula>
    </cfRule>
    <cfRule type="cellIs" dxfId="2" priority="3" operator="equal">
      <formula>"CHECK FOR NEWER SDS"</formula>
    </cfRule>
    <cfRule type="cellIs" dxfId="3" priority="4" operator="equal">
      <formula>"MISSING SDS"</formula>
    </cfRule>
    <cfRule type="cellIs" dxfId="3" priority="5" operator="equal">
      <formula>"REPLACE: OLD FORMAT"</formula>
    </cfRule>
    <cfRule type="cellIs" dxfId="4" priority="6" operator="equal">
      <formula>"NOT ON SITE LIST"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/>
  </sheetViews>
  <sheetFormatPr defaultRowHeight="15"/>
  <cols>
    <col min="1" max="1" width="34.7109375" customWidth="1"/>
    <col min="2" max="2" width="16.7109375" customWidth="1"/>
    <col min="3" max="3" width="90.7109375" customWidth="1"/>
  </cols>
  <sheetData>
    <row r="1" spans="1:3">
      <c r="A1" s="13" t="s">
        <v>0</v>
      </c>
    </row>
    <row r="3" spans="1:3">
      <c r="A3" s="15" t="s">
        <v>1</v>
      </c>
      <c r="B3" s="8">
        <v>3</v>
      </c>
      <c r="C3" s="16" t="s">
        <v>2</v>
      </c>
    </row>
    <row r="4" spans="1:3">
      <c r="A4" s="15" t="s">
        <v>3</v>
      </c>
      <c r="B4" s="17">
        <v>45492</v>
      </c>
      <c r="C4" s="16" t="s">
        <v>4</v>
      </c>
    </row>
    <row r="5" spans="1:3">
      <c r="A5" s="15" t="s">
        <v>5</v>
      </c>
      <c r="B5" s="17">
        <f>TODAY()</f>
        <v>46302</v>
      </c>
      <c r="C5" s="16" t="s">
        <v>6</v>
      </c>
    </row>
    <row r="7" spans="1:3">
      <c r="A7" s="15" t="s">
        <v>7</v>
      </c>
      <c r="B7" s="18" t="s">
        <v>8</v>
      </c>
    </row>
    <row r="8" spans="1:3">
      <c r="A8" s="15" t="s">
        <v>9</v>
      </c>
      <c r="B8" s="18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3"/>
  <sheetViews>
    <sheetView showGridLines="0" workbookViewId="0"/>
  </sheetViews>
  <sheetFormatPr defaultRowHeight="15"/>
  <cols>
    <col min="1" max="1" width="110.7109375" customWidth="1"/>
  </cols>
  <sheetData>
    <row r="1" spans="1:1">
      <c r="A1" s="13" t="s">
        <v>160</v>
      </c>
    </row>
    <row r="3" spans="1:1" ht="28" customHeight="1">
      <c r="A3" s="16" t="s">
        <v>161</v>
      </c>
    </row>
    <row r="5" spans="1:1">
      <c r="A5" s="19" t="s">
        <v>162</v>
      </c>
    </row>
    <row r="6" spans="1:1" ht="14" customHeight="1">
      <c r="A6" s="16" t="s">
        <v>163</v>
      </c>
    </row>
    <row r="7" spans="1:1" ht="42" customHeight="1">
      <c r="A7" s="16" t="s">
        <v>164</v>
      </c>
    </row>
    <row r="8" spans="1:1" ht="28" customHeight="1">
      <c r="A8" s="16" t="s">
        <v>165</v>
      </c>
    </row>
    <row r="9" spans="1:1" ht="14" customHeight="1">
      <c r="A9" s="16" t="s">
        <v>166</v>
      </c>
    </row>
    <row r="10" spans="1:1" ht="14" customHeight="1">
      <c r="A10" s="16" t="s">
        <v>167</v>
      </c>
    </row>
    <row r="11" spans="1:1" ht="14" customHeight="1">
      <c r="A11" s="16" t="s">
        <v>168</v>
      </c>
    </row>
    <row r="12" spans="1:1" ht="28" customHeight="1">
      <c r="A12" s="16" t="s">
        <v>169</v>
      </c>
    </row>
    <row r="13" spans="1:1" ht="28" customHeight="1">
      <c r="A13" s="16" t="s">
        <v>170</v>
      </c>
    </row>
    <row r="15" spans="1:1">
      <c r="A15" s="19" t="s">
        <v>171</v>
      </c>
    </row>
    <row r="16" spans="1:1" ht="42" customHeight="1">
      <c r="A16" s="16" t="s">
        <v>172</v>
      </c>
    </row>
    <row r="17" spans="1:1" ht="28" customHeight="1">
      <c r="A17" s="16" t="s">
        <v>173</v>
      </c>
    </row>
    <row r="18" spans="1:1" ht="14" customHeight="1">
      <c r="A18" s="16" t="s">
        <v>174</v>
      </c>
    </row>
    <row r="20" spans="1:1">
      <c r="A20" s="19" t="s">
        <v>175</v>
      </c>
    </row>
    <row r="21" spans="1:1" ht="28" customHeight="1">
      <c r="A21" s="16" t="s">
        <v>176</v>
      </c>
    </row>
    <row r="22" spans="1:1" ht="28" customHeight="1">
      <c r="A22" s="16" t="s">
        <v>177</v>
      </c>
    </row>
    <row r="23" spans="1:1" ht="28" customHeight="1">
      <c r="A23" s="16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Inventory</vt:lpstr>
      <vt:lpstr>Chemical List</vt:lpstr>
      <vt:lpstr>Binder Index</vt:lpstr>
      <vt:lpstr>Summary</vt:lpstr>
      <vt:lpstr>Settings</vt:lpstr>
      <vt:lpstr>Read me</vt:lpstr>
      <vt:lpstr>'Chemical List'!Print_Area</vt:lpstr>
      <vt:lpstr>'Chemical List'!Print_Titles</vt:lpstr>
      <vt:lpstr>Inventory!Print_Titles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2026-10-07T10:49:22Z</dcterms:created>
  <dcterms:modified xsi:type="dcterms:W3CDTF">2026-10-07T10:49:22Z</dcterms:modified>
</cp:coreProperties>
</file>